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  <Override PartName="/xl/persons/person.xml" ContentType="application/vnd.ms-excel.person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/>
  <mc:AlternateContent xmlns:mc="http://schemas.openxmlformats.org/markup-compatibility/2006">
    <mc:Choice Requires="x15">
      <x15ac:absPath xmlns:x15ac="http://schemas.microsoft.com/office/spreadsheetml/2010/11/ac" url="C:\Users\gilang.prabowo\Downloads\"/>
    </mc:Choice>
  </mc:AlternateContent>
  <xr:revisionPtr revIDLastSave="0" documentId="13_ncr:1_{0DEC90B5-7110-46FE-A8EA-23E1019589E7}" xr6:coauthVersionLast="36" xr6:coauthVersionMax="47" xr10:uidLastSave="{00000000-0000-0000-0000-000000000000}"/>
  <bookViews>
    <workbookView xWindow="0" yWindow="0" windowWidth="28776" windowHeight="12036" tabRatio="867" activeTab="2" xr2:uid="{94094A28-7E79-4845-8507-1CC550DEF985}"/>
  </bookViews>
  <sheets>
    <sheet name="KODE PROJECT UPDATE SEP 25" sheetId="13" r:id="rId1"/>
    <sheet name="KODE PROJECT BARU" sheetId="22" r:id="rId2"/>
    <sheet name="PROGNOSA 2026" sheetId="23" r:id="rId3"/>
    <sheet name="APLIKASI" sheetId="18" state="hidden" r:id="rId4"/>
    <sheet name="DOKUMEN" sheetId="25" state="hidden" r:id="rId5"/>
    <sheet name="PIC" sheetId="26" state="hidden" r:id="rId6"/>
    <sheet name="TKDN" sheetId="24" r:id="rId7"/>
    <sheet name="REALISASI 2026" sheetId="19" r:id="rId8"/>
    <sheet name="Lembar1" sheetId="28" state="hidden" r:id="rId9"/>
    <sheet name="RAW DATA" sheetId="17" r:id="rId10"/>
    <sheet name="Pivot" sheetId="27" r:id="rId11"/>
  </sheets>
  <definedNames>
    <definedName name="_xlnm._FilterDatabase" localSheetId="3" hidden="1">APLIKASI!$A$2:$G$2</definedName>
    <definedName name="_xlnm._FilterDatabase" localSheetId="1" hidden="1">'KODE PROJECT BARU'!$A$4:$E$98</definedName>
    <definedName name="_xlnm._FilterDatabase" localSheetId="0" hidden="1">'KODE PROJECT UPDATE SEP 25'!$A$2:$D$133</definedName>
    <definedName name="_xlnm._FilterDatabase" localSheetId="7" hidden="1">'REALISASI 2026'!$I$626:$I$626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27" i="19" l="1" a="1"/>
  <c r="D527" i="19" s="1"/>
  <c r="H36" i="23"/>
  <c r="H37" i="23"/>
  <c r="H38" i="23"/>
  <c r="H34" i="23"/>
  <c r="H39" i="23"/>
  <c r="H35" i="23"/>
  <c r="H212" i="23"/>
  <c r="H211" i="23"/>
  <c r="H213" i="23"/>
  <c r="H81" i="23"/>
  <c r="H82" i="23"/>
  <c r="H83" i="23"/>
  <c r="H79" i="23"/>
  <c r="H84" i="23"/>
  <c r="H80" i="23"/>
  <c r="O47" i="17"/>
  <c r="O46" i="17"/>
  <c r="D520" i="19" l="1" a="1"/>
  <c r="D520" i="19" s="1"/>
  <c r="D501" i="19" a="1"/>
  <c r="D501" i="19" s="1"/>
  <c r="D502" i="19" a="1"/>
  <c r="D502" i="19" s="1"/>
  <c r="D503" i="19" a="1"/>
  <c r="D503" i="19" s="1"/>
  <c r="D500" i="19" a="1"/>
  <c r="D500" i="19" s="1"/>
  <c r="D561" i="19" a="1"/>
  <c r="D561" i="19" s="1"/>
  <c r="N230" i="17"/>
  <c r="N229" i="17"/>
  <c r="N228" i="17"/>
  <c r="N227" i="17"/>
  <c r="N226" i="17"/>
  <c r="N225" i="17"/>
  <c r="N224" i="17"/>
  <c r="N223" i="17"/>
  <c r="N222" i="17"/>
  <c r="N221" i="17"/>
  <c r="N220" i="17"/>
  <c r="N219" i="17"/>
  <c r="N218" i="17"/>
  <c r="N217" i="17"/>
  <c r="N216" i="17"/>
  <c r="N206" i="17"/>
  <c r="N205" i="17"/>
  <c r="N204" i="17"/>
  <c r="N233" i="17"/>
  <c r="N232" i="17"/>
  <c r="N231" i="17"/>
  <c r="N215" i="17"/>
  <c r="N214" i="17"/>
  <c r="N213" i="17"/>
  <c r="N212" i="17"/>
  <c r="N211" i="17"/>
  <c r="N210" i="17"/>
  <c r="N209" i="17"/>
  <c r="N208" i="17"/>
  <c r="N207" i="17"/>
  <c r="N183" i="17"/>
  <c r="N182" i="17"/>
  <c r="N181" i="17"/>
  <c r="D509" i="19" l="1" a="1"/>
  <c r="D509" i="19" s="1"/>
  <c r="D508" i="19" a="1"/>
  <c r="D508" i="19" s="1"/>
  <c r="D507" i="19" a="1"/>
  <c r="D507" i="19" s="1"/>
  <c r="D506" i="19" a="1"/>
  <c r="D506" i="19" s="1"/>
  <c r="D505" i="19" a="1"/>
  <c r="D505" i="19" s="1"/>
  <c r="D499" i="19" a="1"/>
  <c r="D499" i="19" s="1"/>
  <c r="D536" i="19" a="1"/>
  <c r="D536" i="19" s="1"/>
  <c r="O238" i="17" l="1"/>
  <c r="O234" i="17"/>
  <c r="O237" i="17"/>
  <c r="O236" i="17"/>
  <c r="O235" i="17"/>
  <c r="N238" i="17"/>
  <c r="N237" i="17"/>
  <c r="N236" i="17"/>
  <c r="N235" i="17"/>
  <c r="N234" i="17"/>
  <c r="C238" i="17"/>
  <c r="C237" i="17"/>
  <c r="C236" i="17"/>
  <c r="B236" i="17"/>
  <c r="Q236" i="17"/>
  <c r="B237" i="17"/>
  <c r="Q237" i="17"/>
  <c r="C235" i="17"/>
  <c r="B235" i="17"/>
  <c r="Q235" i="17"/>
  <c r="C234" i="17"/>
  <c r="B234" i="17"/>
  <c r="Q234" i="17"/>
  <c r="R234" i="17" s="1"/>
  <c r="B238" i="17"/>
  <c r="Q238" i="17"/>
  <c r="R238" i="17" s="1"/>
  <c r="D624" i="19" a="1"/>
  <c r="D624" i="19" s="1"/>
  <c r="D625" i="19" a="1"/>
  <c r="D625" i="19" s="1"/>
  <c r="D623" i="19" a="1"/>
  <c r="D623" i="19" s="1"/>
  <c r="D622" i="19" a="1"/>
  <c r="D622" i="19" s="1"/>
  <c r="D621" i="19" a="1"/>
  <c r="D621" i="19" s="1"/>
  <c r="D620" i="19" a="1"/>
  <c r="D620" i="19" s="1"/>
  <c r="D619" i="19" a="1"/>
  <c r="D619" i="19" s="1"/>
  <c r="G1" i="17"/>
  <c r="O146" i="17"/>
  <c r="P146" i="17"/>
  <c r="C146" i="17"/>
  <c r="B146" i="17"/>
  <c r="N31" i="17"/>
  <c r="O31" i="17"/>
  <c r="N30" i="17"/>
  <c r="O30" i="17"/>
  <c r="C31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06" i="17"/>
  <c r="O205" i="17"/>
  <c r="O204" i="17"/>
  <c r="O215" i="17"/>
  <c r="O214" i="17"/>
  <c r="O213" i="17"/>
  <c r="O212" i="17"/>
  <c r="O211" i="17"/>
  <c r="O210" i="17"/>
  <c r="O183" i="17"/>
  <c r="O182" i="17"/>
  <c r="O181" i="17"/>
  <c r="O209" i="17"/>
  <c r="O208" i="17"/>
  <c r="O207" i="17"/>
  <c r="C233" i="17"/>
  <c r="C232" i="17"/>
  <c r="C231" i="17"/>
  <c r="B231" i="17"/>
  <c r="B232" i="17"/>
  <c r="B233" i="17"/>
  <c r="Q231" i="17"/>
  <c r="Q232" i="17"/>
  <c r="Q233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D4" i="28"/>
  <c r="B204" i="17"/>
  <c r="B205" i="17"/>
  <c r="B206" i="17"/>
  <c r="B207" i="17"/>
  <c r="B208" i="17"/>
  <c r="B209" i="17"/>
  <c r="B210" i="17"/>
  <c r="B211" i="17"/>
  <c r="B212" i="17"/>
  <c r="B213" i="17"/>
  <c r="B214" i="17"/>
  <c r="B215" i="17"/>
  <c r="B216" i="17"/>
  <c r="B217" i="17"/>
  <c r="B218" i="17"/>
  <c r="B219" i="17"/>
  <c r="B220" i="17"/>
  <c r="B221" i="17"/>
  <c r="B222" i="17"/>
  <c r="B223" i="17"/>
  <c r="B224" i="17"/>
  <c r="B225" i="17"/>
  <c r="B226" i="17"/>
  <c r="B227" i="17"/>
  <c r="B228" i="17"/>
  <c r="B229" i="17"/>
  <c r="B230" i="17"/>
  <c r="Q204" i="17"/>
  <c r="Q205" i="17"/>
  <c r="Q206" i="17"/>
  <c r="R206" i="17" s="1"/>
  <c r="Q207" i="17"/>
  <c r="Q208" i="17"/>
  <c r="Q209" i="17"/>
  <c r="R209" i="17" s="1"/>
  <c r="Q210" i="17"/>
  <c r="Q211" i="17"/>
  <c r="Q212" i="17"/>
  <c r="Q213" i="17"/>
  <c r="Q214" i="17"/>
  <c r="Q215" i="17"/>
  <c r="Q216" i="17"/>
  <c r="Q217" i="17"/>
  <c r="Q218" i="17"/>
  <c r="R218" i="17" s="1"/>
  <c r="Q219" i="17"/>
  <c r="Q220" i="17"/>
  <c r="R220" i="17" s="1"/>
  <c r="Q221" i="17"/>
  <c r="Q222" i="17"/>
  <c r="Q223" i="17"/>
  <c r="R223" i="17" s="1"/>
  <c r="Q224" i="17"/>
  <c r="Q225" i="17"/>
  <c r="Q226" i="17"/>
  <c r="Q227" i="17"/>
  <c r="Q228" i="17"/>
  <c r="R228" i="17" s="1"/>
  <c r="Q229" i="17"/>
  <c r="Q230" i="17"/>
  <c r="R237" i="17" l="1"/>
  <c r="R224" i="17"/>
  <c r="R216" i="17"/>
  <c r="R236" i="17"/>
  <c r="R214" i="17"/>
  <c r="R231" i="17"/>
  <c r="R207" i="17"/>
  <c r="R230" i="17"/>
  <c r="R222" i="17"/>
  <c r="R229" i="17"/>
  <c r="R221" i="17"/>
  <c r="R213" i="17"/>
  <c r="R212" i="17"/>
  <c r="R204" i="17"/>
  <c r="R208" i="17"/>
  <c r="R227" i="17"/>
  <c r="R219" i="17"/>
  <c r="R211" i="17"/>
  <c r="R235" i="17"/>
  <c r="R210" i="17"/>
  <c r="R226" i="17"/>
  <c r="R225" i="17"/>
  <c r="R217" i="17"/>
  <c r="R205" i="17"/>
  <c r="R215" i="17"/>
  <c r="R232" i="17"/>
  <c r="R233" i="17"/>
  <c r="D588" i="19" a="1"/>
  <c r="D588" i="19" s="1"/>
  <c r="D587" i="19" a="1"/>
  <c r="D587" i="19" s="1"/>
  <c r="D220" i="19" l="1" a="1"/>
  <c r="D220" i="19" s="1"/>
  <c r="D584" i="19" l="1" a="1"/>
  <c r="D584" i="19" s="1"/>
  <c r="D498" i="19" l="1" a="1"/>
  <c r="D498" i="19" s="1"/>
  <c r="D497" i="19" a="1"/>
  <c r="D497" i="19" s="1"/>
  <c r="D410" i="19" a="1"/>
  <c r="D410" i="19" s="1"/>
  <c r="D409" i="19" a="1"/>
  <c r="D409" i="19" s="1"/>
  <c r="D408" i="19" a="1"/>
  <c r="D408" i="19" s="1"/>
  <c r="D481" i="19" a="1"/>
  <c r="D481" i="19" s="1"/>
  <c r="D385" i="19" a="1"/>
  <c r="D385" i="19" s="1"/>
  <c r="D384" i="19" a="1"/>
  <c r="D384" i="19" s="1"/>
  <c r="D428" i="19" a="1"/>
  <c r="D428" i="19" s="1"/>
  <c r="D475" i="19" a="1"/>
  <c r="D475" i="19" s="1"/>
  <c r="D474" i="19" a="1"/>
  <c r="D474" i="19" s="1"/>
  <c r="D312" i="19" a="1"/>
  <c r="D312" i="19" s="1"/>
  <c r="D492" i="19" a="1"/>
  <c r="D492" i="19" s="1"/>
  <c r="D488" i="19" a="1"/>
  <c r="D488" i="19" s="1"/>
  <c r="D487" i="19" a="1"/>
  <c r="D487" i="19" s="1"/>
  <c r="D565" i="19" a="1"/>
  <c r="D565" i="19" s="1"/>
  <c r="D564" i="19" a="1"/>
  <c r="D564" i="19" s="1"/>
  <c r="D600" i="19" a="1"/>
  <c r="D600" i="19" s="1"/>
  <c r="D601" i="19" a="1"/>
  <c r="D601" i="19" s="1"/>
  <c r="D599" i="19" a="1"/>
  <c r="D599" i="19" s="1"/>
  <c r="D17" i="19" l="1" a="1"/>
  <c r="D17" i="19" s="1"/>
  <c r="D616" i="19" a="1"/>
  <c r="D616" i="19" s="1"/>
  <c r="D615" i="19" a="1"/>
  <c r="D615" i="19" s="1"/>
  <c r="D614" i="19" a="1"/>
  <c r="D614" i="19" s="1"/>
  <c r="D613" i="19" a="1"/>
  <c r="D613" i="19" s="1"/>
  <c r="D612" i="19" a="1"/>
  <c r="D612" i="19" s="1"/>
  <c r="D611" i="19" a="1"/>
  <c r="D611" i="19" s="1"/>
  <c r="D610" i="19" a="1"/>
  <c r="D610" i="19" s="1"/>
  <c r="D609" i="19" a="1"/>
  <c r="D609" i="19" s="1"/>
  <c r="D608" i="19" a="1"/>
  <c r="D608" i="19" s="1"/>
  <c r="D607" i="19" a="1"/>
  <c r="D607" i="19" s="1"/>
  <c r="D606" i="19" a="1"/>
  <c r="D606" i="19" s="1"/>
  <c r="D605" i="19" a="1"/>
  <c r="D605" i="19" s="1"/>
  <c r="D604" i="19" a="1"/>
  <c r="D604" i="19" s="1"/>
  <c r="D603" i="19" a="1"/>
  <c r="D603" i="19" s="1"/>
  <c r="D602" i="19" a="1"/>
  <c r="D602" i="19" s="1"/>
  <c r="D595" i="19" a="1"/>
  <c r="D595" i="19" s="1"/>
  <c r="D594" i="19" a="1"/>
  <c r="D594" i="19" s="1"/>
  <c r="D593" i="19" a="1"/>
  <c r="D593" i="19" s="1"/>
  <c r="D592" i="19" a="1"/>
  <c r="D592" i="19" s="1"/>
  <c r="D591" i="19" a="1"/>
  <c r="D591" i="19" s="1"/>
  <c r="D590" i="19" a="1"/>
  <c r="D590" i="19" s="1"/>
  <c r="D589" i="19" a="1"/>
  <c r="D589" i="19" s="1"/>
  <c r="D586" i="19" a="1"/>
  <c r="D586" i="19" s="1"/>
  <c r="D585" i="19" a="1"/>
  <c r="D585" i="19" s="1"/>
  <c r="D583" i="19" a="1"/>
  <c r="D583" i="19" s="1"/>
  <c r="D582" i="19" a="1"/>
  <c r="D582" i="19" s="1"/>
  <c r="D581" i="19" a="1"/>
  <c r="D581" i="19" s="1"/>
  <c r="D580" i="19" a="1"/>
  <c r="D580" i="19" s="1"/>
  <c r="D579" i="19" a="1"/>
  <c r="D579" i="19" s="1"/>
  <c r="D578" i="19" a="1"/>
  <c r="D578" i="19" s="1"/>
  <c r="D577" i="19" a="1"/>
  <c r="D577" i="19" s="1"/>
  <c r="D576" i="19" a="1"/>
  <c r="D576" i="19" s="1"/>
  <c r="D575" i="19" a="1"/>
  <c r="D575" i="19" s="1"/>
  <c r="D574" i="19" a="1"/>
  <c r="D574" i="19" s="1"/>
  <c r="D573" i="19" a="1"/>
  <c r="D573" i="19" s="1"/>
  <c r="D572" i="19" a="1"/>
  <c r="D572" i="19" s="1"/>
  <c r="D571" i="19" a="1"/>
  <c r="D571" i="19" s="1"/>
  <c r="D560" i="19" a="1"/>
  <c r="D560" i="19" s="1"/>
  <c r="D559" i="19" a="1"/>
  <c r="D559" i="19" s="1"/>
  <c r="D558" i="19" a="1"/>
  <c r="D558" i="19" s="1"/>
  <c r="D557" i="19" a="1"/>
  <c r="D557" i="19" s="1"/>
  <c r="D556" i="19" a="1"/>
  <c r="D556" i="19" s="1"/>
  <c r="D555" i="19" a="1"/>
  <c r="D555" i="19" s="1"/>
  <c r="D554" i="19" a="1"/>
  <c r="D554" i="19" s="1"/>
  <c r="D553" i="19" a="1"/>
  <c r="D553" i="19" s="1"/>
  <c r="D552" i="19" a="1"/>
  <c r="D552" i="19" s="1"/>
  <c r="D551" i="19" a="1"/>
  <c r="D551" i="19" s="1"/>
  <c r="D549" i="19" a="1"/>
  <c r="D549" i="19" s="1"/>
  <c r="D548" i="19" a="1"/>
  <c r="D548" i="19" s="1"/>
  <c r="D547" i="19" a="1"/>
  <c r="D547" i="19" s="1"/>
  <c r="D546" i="19" a="1"/>
  <c r="D546" i="19" s="1"/>
  <c r="D542" i="19" a="1"/>
  <c r="D542" i="19" s="1"/>
  <c r="D541" i="19" a="1"/>
  <c r="D541" i="19" s="1"/>
  <c r="D540" i="19" a="1"/>
  <c r="D540" i="19" s="1"/>
  <c r="D539" i="19" a="1"/>
  <c r="D539" i="19" s="1"/>
  <c r="D538" i="19" a="1"/>
  <c r="D538" i="19" s="1"/>
  <c r="D537" i="19" a="1"/>
  <c r="D537" i="19" s="1"/>
  <c r="D535" i="19" a="1"/>
  <c r="D535" i="19" s="1"/>
  <c r="D533" i="19" a="1"/>
  <c r="D533" i="19" s="1"/>
  <c r="D530" i="19" a="1"/>
  <c r="D530" i="19" s="1"/>
  <c r="D529" i="19" a="1"/>
  <c r="D529" i="19" s="1"/>
  <c r="D528" i="19" a="1"/>
  <c r="D528" i="19" s="1"/>
  <c r="D526" i="19" a="1"/>
  <c r="D526" i="19" s="1"/>
  <c r="D525" i="19" a="1"/>
  <c r="D525" i="19" s="1"/>
  <c r="D524" i="19" a="1"/>
  <c r="D524" i="19" s="1"/>
  <c r="D523" i="19" a="1"/>
  <c r="D523" i="19" s="1"/>
  <c r="D519" i="19" a="1"/>
  <c r="D519" i="19" s="1"/>
  <c r="D518" i="19" a="1"/>
  <c r="D518" i="19" s="1"/>
  <c r="D516" i="19" a="1"/>
  <c r="D516" i="19" s="1"/>
  <c r="D515" i="19" a="1"/>
  <c r="D515" i="19" s="1"/>
  <c r="D514" i="19" a="1"/>
  <c r="D514" i="19" s="1"/>
  <c r="D511" i="19" a="1"/>
  <c r="D511" i="19" s="1"/>
  <c r="D496" i="19" a="1"/>
  <c r="D496" i="19" s="1"/>
  <c r="D495" i="19" a="1"/>
  <c r="D495" i="19" s="1"/>
  <c r="D494" i="19" a="1"/>
  <c r="D494" i="19" s="1"/>
  <c r="D493" i="19" a="1"/>
  <c r="D493" i="19" s="1"/>
  <c r="D491" i="19" a="1"/>
  <c r="D491" i="19" s="1"/>
  <c r="D490" i="19" a="1"/>
  <c r="D490" i="19" s="1"/>
  <c r="D489" i="19" a="1"/>
  <c r="D489" i="19" s="1"/>
  <c r="D486" i="19" a="1"/>
  <c r="D486" i="19" s="1"/>
  <c r="D485" i="19" a="1"/>
  <c r="D485" i="19" s="1"/>
  <c r="D484" i="19" a="1"/>
  <c r="D484" i="19" s="1"/>
  <c r="D483" i="19" a="1"/>
  <c r="D483" i="19" s="1"/>
  <c r="D482" i="19" a="1"/>
  <c r="D482" i="19" s="1"/>
  <c r="D480" i="19" a="1"/>
  <c r="D480" i="19" s="1"/>
  <c r="D479" i="19" a="1"/>
  <c r="D479" i="19" s="1"/>
  <c r="D478" i="19" a="1"/>
  <c r="D478" i="19" s="1"/>
  <c r="D477" i="19" a="1"/>
  <c r="D477" i="19" s="1"/>
  <c r="D476" i="19" a="1"/>
  <c r="D476" i="19" s="1"/>
  <c r="D473" i="19" a="1"/>
  <c r="D473" i="19" s="1"/>
  <c r="D472" i="19" a="1"/>
  <c r="D472" i="19" s="1"/>
  <c r="D471" i="19" a="1"/>
  <c r="D471" i="19" s="1"/>
  <c r="D470" i="19" a="1"/>
  <c r="D470" i="19" s="1"/>
  <c r="D469" i="19" a="1"/>
  <c r="D469" i="19" s="1"/>
  <c r="D468" i="19" a="1"/>
  <c r="D468" i="19" s="1"/>
  <c r="D467" i="19" a="1"/>
  <c r="D467" i="19" s="1"/>
  <c r="D466" i="19" a="1"/>
  <c r="D466" i="19" s="1"/>
  <c r="D465" i="19" a="1"/>
  <c r="D465" i="19" s="1"/>
  <c r="D464" i="19" a="1"/>
  <c r="D464" i="19" s="1"/>
  <c r="D463" i="19" a="1"/>
  <c r="D463" i="19" s="1"/>
  <c r="D462" i="19" a="1"/>
  <c r="D462" i="19" s="1"/>
  <c r="D461" i="19" a="1"/>
  <c r="D461" i="19" s="1"/>
  <c r="D460" i="19" a="1"/>
  <c r="D460" i="19" s="1"/>
  <c r="D459" i="19" a="1"/>
  <c r="D459" i="19" s="1"/>
  <c r="D458" i="19" a="1"/>
  <c r="D458" i="19" s="1"/>
  <c r="D457" i="19" a="1"/>
  <c r="D457" i="19" s="1"/>
  <c r="D456" i="19" a="1"/>
  <c r="D456" i="19" s="1"/>
  <c r="D455" i="19" a="1"/>
  <c r="D455" i="19" s="1"/>
  <c r="D454" i="19" a="1"/>
  <c r="D454" i="19" s="1"/>
  <c r="D453" i="19" a="1"/>
  <c r="D453" i="19" s="1"/>
  <c r="D452" i="19" a="1"/>
  <c r="D452" i="19" s="1"/>
  <c r="D451" i="19" a="1"/>
  <c r="D451" i="19" s="1"/>
  <c r="D450" i="19" a="1"/>
  <c r="D450" i="19" s="1"/>
  <c r="D449" i="19" a="1"/>
  <c r="D449" i="19" s="1"/>
  <c r="D448" i="19" a="1"/>
  <c r="D448" i="19" s="1"/>
  <c r="D447" i="19" a="1"/>
  <c r="D447" i="19" s="1"/>
  <c r="D446" i="19" a="1"/>
  <c r="D446" i="19" s="1"/>
  <c r="D445" i="19" a="1"/>
  <c r="D445" i="19" s="1"/>
  <c r="D444" i="19" a="1"/>
  <c r="D444" i="19" s="1"/>
  <c r="D443" i="19" a="1"/>
  <c r="D443" i="19" s="1"/>
  <c r="D442" i="19" a="1"/>
  <c r="D442" i="19" s="1"/>
  <c r="D441" i="19" a="1"/>
  <c r="D441" i="19" s="1"/>
  <c r="D440" i="19" a="1"/>
  <c r="D440" i="19" s="1"/>
  <c r="D439" i="19" a="1"/>
  <c r="D439" i="19" s="1"/>
  <c r="D438" i="19" a="1"/>
  <c r="D438" i="19" s="1"/>
  <c r="D437" i="19" a="1"/>
  <c r="D437" i="19" s="1"/>
  <c r="D436" i="19" a="1"/>
  <c r="D436" i="19" s="1"/>
  <c r="D435" i="19" a="1"/>
  <c r="D435" i="19" s="1"/>
  <c r="D434" i="19" a="1"/>
  <c r="D434" i="19" s="1"/>
  <c r="D433" i="19" a="1"/>
  <c r="D433" i="19" s="1"/>
  <c r="D432" i="19" a="1"/>
  <c r="D432" i="19" s="1"/>
  <c r="D431" i="19" a="1"/>
  <c r="D431" i="19" s="1"/>
  <c r="D430" i="19" a="1"/>
  <c r="D430" i="19" s="1"/>
  <c r="D429" i="19" a="1"/>
  <c r="D429" i="19" s="1"/>
  <c r="D427" i="19" a="1"/>
  <c r="D427" i="19" s="1"/>
  <c r="D426" i="19" a="1"/>
  <c r="D426" i="19" s="1"/>
  <c r="D425" i="19" a="1"/>
  <c r="D425" i="19" s="1"/>
  <c r="D424" i="19" a="1"/>
  <c r="D424" i="19" s="1"/>
  <c r="D423" i="19" a="1"/>
  <c r="D423" i="19" s="1"/>
  <c r="D422" i="19" a="1"/>
  <c r="D422" i="19" s="1"/>
  <c r="D421" i="19" a="1"/>
  <c r="D421" i="19" s="1"/>
  <c r="D420" i="19" a="1"/>
  <c r="D420" i="19" s="1"/>
  <c r="D419" i="19" a="1"/>
  <c r="D419" i="19" s="1"/>
  <c r="D418" i="19" a="1"/>
  <c r="D418" i="19" s="1"/>
  <c r="D417" i="19" a="1"/>
  <c r="D417" i="19" s="1"/>
  <c r="D416" i="19" a="1"/>
  <c r="D416" i="19" s="1"/>
  <c r="D415" i="19" a="1"/>
  <c r="D415" i="19" s="1"/>
  <c r="D414" i="19" a="1"/>
  <c r="D414" i="19" s="1"/>
  <c r="D405" i="19" a="1"/>
  <c r="D405" i="19" s="1"/>
  <c r="D404" i="19" a="1"/>
  <c r="D404" i="19" s="1"/>
  <c r="D403" i="19" a="1"/>
  <c r="D403" i="19" s="1"/>
  <c r="D402" i="19" a="1"/>
  <c r="D402" i="19" s="1"/>
  <c r="D401" i="19" a="1"/>
  <c r="D401" i="19" s="1"/>
  <c r="D400" i="19" a="1"/>
  <c r="D400" i="19" s="1"/>
  <c r="D399" i="19" a="1"/>
  <c r="D399" i="19" s="1"/>
  <c r="D398" i="19" a="1"/>
  <c r="D398" i="19" s="1"/>
  <c r="D397" i="19" a="1"/>
  <c r="D397" i="19" s="1"/>
  <c r="D396" i="19" a="1"/>
  <c r="D396" i="19" s="1"/>
  <c r="D395" i="19" a="1"/>
  <c r="D395" i="19" s="1"/>
  <c r="D394" i="19" a="1"/>
  <c r="D394" i="19" s="1"/>
  <c r="D393" i="19" a="1"/>
  <c r="D393" i="19" s="1"/>
  <c r="D392" i="19" a="1"/>
  <c r="D392" i="19" s="1"/>
  <c r="D391" i="19" a="1"/>
  <c r="D391" i="19" s="1"/>
  <c r="D390" i="19" a="1"/>
  <c r="D390" i="19" s="1"/>
  <c r="D389" i="19" a="1"/>
  <c r="D389" i="19" s="1"/>
  <c r="D388" i="19" a="1"/>
  <c r="D388" i="19" s="1"/>
  <c r="D387" i="19" a="1"/>
  <c r="D387" i="19" s="1"/>
  <c r="D386" i="19" a="1"/>
  <c r="D386" i="19" s="1"/>
  <c r="D383" i="19" a="1"/>
  <c r="D383" i="19" s="1"/>
  <c r="D382" i="19" a="1"/>
  <c r="D382" i="19" s="1"/>
  <c r="D381" i="19" a="1"/>
  <c r="D381" i="19" s="1"/>
  <c r="D380" i="19" a="1"/>
  <c r="D380" i="19" s="1"/>
  <c r="D379" i="19" a="1"/>
  <c r="D379" i="19" s="1"/>
  <c r="D378" i="19" a="1"/>
  <c r="D378" i="19" s="1"/>
  <c r="D377" i="19" a="1"/>
  <c r="D377" i="19" s="1"/>
  <c r="D376" i="19" a="1"/>
  <c r="D376" i="19" s="1"/>
  <c r="D375" i="19" a="1"/>
  <c r="D375" i="19" s="1"/>
  <c r="D374" i="19" a="1"/>
  <c r="D374" i="19" s="1"/>
  <c r="D373" i="19" a="1"/>
  <c r="D373" i="19" s="1"/>
  <c r="D372" i="19" a="1"/>
  <c r="D372" i="19" s="1"/>
  <c r="D371" i="19" a="1"/>
  <c r="D371" i="19" s="1"/>
  <c r="D370" i="19" a="1"/>
  <c r="D370" i="19" s="1"/>
  <c r="D369" i="19" a="1"/>
  <c r="D369" i="19" s="1"/>
  <c r="D368" i="19" a="1"/>
  <c r="D368" i="19" s="1"/>
  <c r="D367" i="19" a="1"/>
  <c r="D367" i="19" s="1"/>
  <c r="D366" i="19" a="1"/>
  <c r="D366" i="19" s="1"/>
  <c r="D365" i="19" a="1"/>
  <c r="D365" i="19" s="1"/>
  <c r="D364" i="19" a="1"/>
  <c r="D364" i="19" s="1"/>
  <c r="D363" i="19" a="1"/>
  <c r="D363" i="19" s="1"/>
  <c r="D362" i="19" a="1"/>
  <c r="D362" i="19" s="1"/>
  <c r="D361" i="19" a="1"/>
  <c r="D361" i="19" s="1"/>
  <c r="D360" i="19" a="1"/>
  <c r="D360" i="19" s="1"/>
  <c r="D359" i="19" a="1"/>
  <c r="D359" i="19" s="1"/>
  <c r="D358" i="19" a="1"/>
  <c r="D358" i="19" s="1"/>
  <c r="D357" i="19" a="1"/>
  <c r="D357" i="19" s="1"/>
  <c r="D356" i="19" a="1"/>
  <c r="D356" i="19" s="1"/>
  <c r="D355" i="19" a="1"/>
  <c r="D355" i="19" s="1"/>
  <c r="D354" i="19" a="1"/>
  <c r="D354" i="19" s="1"/>
  <c r="D353" i="19" a="1"/>
  <c r="D353" i="19" s="1"/>
  <c r="D352" i="19" a="1"/>
  <c r="D352" i="19" s="1"/>
  <c r="D351" i="19" a="1"/>
  <c r="D351" i="19" s="1"/>
  <c r="D350" i="19" a="1"/>
  <c r="D350" i="19" s="1"/>
  <c r="D349" i="19" a="1"/>
  <c r="D349" i="19" s="1"/>
  <c r="D348" i="19" a="1"/>
  <c r="D348" i="19" s="1"/>
  <c r="D347" i="19" a="1"/>
  <c r="D347" i="19" s="1"/>
  <c r="D346" i="19" a="1"/>
  <c r="D346" i="19" s="1"/>
  <c r="D345" i="19" a="1"/>
  <c r="D345" i="19" s="1"/>
  <c r="D344" i="19" a="1"/>
  <c r="D344" i="19" s="1"/>
  <c r="D343" i="19" a="1"/>
  <c r="D343" i="19" s="1"/>
  <c r="D342" i="19" a="1"/>
  <c r="D342" i="19" s="1"/>
  <c r="D341" i="19" a="1"/>
  <c r="D341" i="19" s="1"/>
  <c r="D340" i="19" a="1"/>
  <c r="D340" i="19" s="1"/>
  <c r="D339" i="19" a="1"/>
  <c r="D339" i="19" s="1"/>
  <c r="D338" i="19" a="1"/>
  <c r="D338" i="19" s="1"/>
  <c r="D337" i="19" a="1"/>
  <c r="D337" i="19" s="1"/>
  <c r="D336" i="19" a="1"/>
  <c r="D336" i="19" s="1"/>
  <c r="D335" i="19" a="1"/>
  <c r="D335" i="19" s="1"/>
  <c r="D334" i="19" a="1"/>
  <c r="D334" i="19" s="1"/>
  <c r="D333" i="19" a="1"/>
  <c r="D333" i="19" s="1"/>
  <c r="D332" i="19" a="1"/>
  <c r="D332" i="19" s="1"/>
  <c r="D331" i="19" a="1"/>
  <c r="D331" i="19" s="1"/>
  <c r="D330" i="19" a="1"/>
  <c r="D330" i="19" s="1"/>
  <c r="D329" i="19" a="1"/>
  <c r="D329" i="19" s="1"/>
  <c r="D328" i="19" a="1"/>
  <c r="D328" i="19" s="1"/>
  <c r="D327" i="19" a="1"/>
  <c r="D327" i="19" s="1"/>
  <c r="D326" i="19" a="1"/>
  <c r="D326" i="19" s="1"/>
  <c r="D325" i="19" a="1"/>
  <c r="D325" i="19" s="1"/>
  <c r="D324" i="19" a="1"/>
  <c r="D324" i="19" s="1"/>
  <c r="D323" i="19" a="1"/>
  <c r="D323" i="19" s="1"/>
  <c r="D322" i="19" a="1"/>
  <c r="D322" i="19" s="1"/>
  <c r="D321" i="19" a="1"/>
  <c r="D321" i="19" s="1"/>
  <c r="D320" i="19" a="1"/>
  <c r="D320" i="19" s="1"/>
  <c r="D319" i="19" a="1"/>
  <c r="D319" i="19" s="1"/>
  <c r="D318" i="19" a="1"/>
  <c r="D318" i="19" s="1"/>
  <c r="D317" i="19" a="1"/>
  <c r="D317" i="19" s="1"/>
  <c r="D316" i="19" a="1"/>
  <c r="D316" i="19" s="1"/>
  <c r="D315" i="19" a="1"/>
  <c r="D315" i="19" s="1"/>
  <c r="D314" i="19" a="1"/>
  <c r="D314" i="19" s="1"/>
  <c r="D313" i="19" a="1"/>
  <c r="D313" i="19" s="1"/>
  <c r="D311" i="19" a="1"/>
  <c r="D311" i="19" s="1"/>
  <c r="D310" i="19" a="1"/>
  <c r="D310" i="19" s="1"/>
  <c r="D309" i="19" a="1"/>
  <c r="D309" i="19" s="1"/>
  <c r="D308" i="19" a="1"/>
  <c r="D308" i="19" s="1"/>
  <c r="D307" i="19" a="1"/>
  <c r="D307" i="19" s="1"/>
  <c r="D306" i="19" a="1"/>
  <c r="D306" i="19" s="1"/>
  <c r="D305" i="19" a="1"/>
  <c r="D305" i="19" s="1"/>
  <c r="D304" i="19" a="1"/>
  <c r="D304" i="19" s="1"/>
  <c r="D303" i="19" a="1"/>
  <c r="D303" i="19" s="1"/>
  <c r="D302" i="19" a="1"/>
  <c r="D302" i="19" s="1"/>
  <c r="D301" i="19" a="1"/>
  <c r="D301" i="19" s="1"/>
  <c r="D300" i="19" a="1"/>
  <c r="D300" i="19" s="1"/>
  <c r="D299" i="19" a="1"/>
  <c r="D299" i="19" s="1"/>
  <c r="D298" i="19" a="1"/>
  <c r="D298" i="19" s="1"/>
  <c r="D297" i="19" a="1"/>
  <c r="D297" i="19" s="1"/>
  <c r="D296" i="19" a="1"/>
  <c r="D296" i="19" s="1"/>
  <c r="D295" i="19" a="1"/>
  <c r="D295" i="19" s="1"/>
  <c r="D294" i="19" a="1"/>
  <c r="D294" i="19" s="1"/>
  <c r="D293" i="19" a="1"/>
  <c r="D293" i="19" s="1"/>
  <c r="D292" i="19" a="1"/>
  <c r="D292" i="19" s="1"/>
  <c r="D291" i="19" a="1"/>
  <c r="D291" i="19" s="1"/>
  <c r="D290" i="19" a="1"/>
  <c r="D290" i="19" s="1"/>
  <c r="D289" i="19" a="1"/>
  <c r="D289" i="19" s="1"/>
  <c r="D288" i="19" a="1"/>
  <c r="D288" i="19" s="1"/>
  <c r="D287" i="19" a="1"/>
  <c r="D287" i="19" s="1"/>
  <c r="D286" i="19" a="1"/>
  <c r="D286" i="19" s="1"/>
  <c r="D285" i="19" a="1"/>
  <c r="D285" i="19" s="1"/>
  <c r="D284" i="19" a="1"/>
  <c r="D284" i="19" s="1"/>
  <c r="D283" i="19" a="1"/>
  <c r="D283" i="19" s="1"/>
  <c r="D282" i="19" a="1"/>
  <c r="D282" i="19" s="1"/>
  <c r="D281" i="19" a="1"/>
  <c r="D281" i="19" s="1"/>
  <c r="D280" i="19" a="1"/>
  <c r="D280" i="19" s="1"/>
  <c r="D279" i="19" a="1"/>
  <c r="D279" i="19" s="1"/>
  <c r="D278" i="19" a="1"/>
  <c r="D278" i="19" s="1"/>
  <c r="D277" i="19" a="1"/>
  <c r="D277" i="19" s="1"/>
  <c r="D276" i="19" a="1"/>
  <c r="D276" i="19" s="1"/>
  <c r="D275" i="19" a="1"/>
  <c r="D275" i="19" s="1"/>
  <c r="D274" i="19" a="1"/>
  <c r="D274" i="19" s="1"/>
  <c r="D273" i="19" a="1"/>
  <c r="D273" i="19" s="1"/>
  <c r="D272" i="19" a="1"/>
  <c r="D272" i="19" s="1"/>
  <c r="D271" i="19" a="1"/>
  <c r="D271" i="19" s="1"/>
  <c r="D270" i="19" a="1"/>
  <c r="D270" i="19" s="1"/>
  <c r="D269" i="19" a="1"/>
  <c r="D269" i="19" s="1"/>
  <c r="D268" i="19" a="1"/>
  <c r="D268" i="19" s="1"/>
  <c r="D267" i="19" a="1"/>
  <c r="D267" i="19" s="1"/>
  <c r="D266" i="19" a="1"/>
  <c r="D266" i="19" s="1"/>
  <c r="D265" i="19" a="1"/>
  <c r="D265" i="19" s="1"/>
  <c r="D264" i="19" a="1"/>
  <c r="D264" i="19" s="1"/>
  <c r="D263" i="19" a="1"/>
  <c r="D263" i="19" s="1"/>
  <c r="D262" i="19" a="1"/>
  <c r="D262" i="19" s="1"/>
  <c r="D261" i="19" a="1"/>
  <c r="D261" i="19" s="1"/>
  <c r="D260" i="19" a="1"/>
  <c r="D260" i="19" s="1"/>
  <c r="D259" i="19" a="1"/>
  <c r="D259" i="19" s="1"/>
  <c r="D258" i="19" a="1"/>
  <c r="D258" i="19" s="1"/>
  <c r="D257" i="19" a="1"/>
  <c r="D257" i="19" s="1"/>
  <c r="D256" i="19" a="1"/>
  <c r="D256" i="19" s="1"/>
  <c r="D255" i="19" a="1"/>
  <c r="D255" i="19" s="1"/>
  <c r="D254" i="19" a="1"/>
  <c r="D254" i="19" s="1"/>
  <c r="D253" i="19" a="1"/>
  <c r="D253" i="19" s="1"/>
  <c r="D252" i="19" a="1"/>
  <c r="D252" i="19" s="1"/>
  <c r="D251" i="19" a="1"/>
  <c r="D251" i="19" s="1"/>
  <c r="D250" i="19" a="1"/>
  <c r="D250" i="19" s="1"/>
  <c r="D249" i="19" a="1"/>
  <c r="D249" i="19" s="1"/>
  <c r="D248" i="19" a="1"/>
  <c r="D248" i="19" s="1"/>
  <c r="D247" i="19" a="1"/>
  <c r="D247" i="19" s="1"/>
  <c r="D246" i="19" a="1"/>
  <c r="D246" i="19" s="1"/>
  <c r="D245" i="19" a="1"/>
  <c r="D245" i="19" s="1"/>
  <c r="D244" i="19" a="1"/>
  <c r="D244" i="19" s="1"/>
  <c r="D243" i="19" a="1"/>
  <c r="D243" i="19" s="1"/>
  <c r="D242" i="19" a="1"/>
  <c r="D242" i="19" s="1"/>
  <c r="D241" i="19" a="1"/>
  <c r="D241" i="19" s="1"/>
  <c r="D240" i="19" a="1"/>
  <c r="D240" i="19" s="1"/>
  <c r="D239" i="19" a="1"/>
  <c r="D239" i="19" s="1"/>
  <c r="D238" i="19" a="1"/>
  <c r="D238" i="19" s="1"/>
  <c r="D237" i="19" a="1"/>
  <c r="D237" i="19" s="1"/>
  <c r="D236" i="19" a="1"/>
  <c r="D236" i="19" s="1"/>
  <c r="D235" i="19" a="1"/>
  <c r="D235" i="19" s="1"/>
  <c r="D234" i="19" a="1"/>
  <c r="D234" i="19" s="1"/>
  <c r="D233" i="19" a="1"/>
  <c r="D233" i="19" s="1"/>
  <c r="D232" i="19" a="1"/>
  <c r="D232" i="19" s="1"/>
  <c r="D231" i="19" a="1"/>
  <c r="D231" i="19" s="1"/>
  <c r="D230" i="19" a="1"/>
  <c r="D230" i="19" s="1"/>
  <c r="D229" i="19" a="1"/>
  <c r="D229" i="19" s="1"/>
  <c r="D228" i="19" a="1"/>
  <c r="D228" i="19" s="1"/>
  <c r="D227" i="19" a="1"/>
  <c r="D227" i="19" s="1"/>
  <c r="D226" i="19" a="1"/>
  <c r="D226" i="19" s="1"/>
  <c r="D225" i="19" a="1"/>
  <c r="D225" i="19" s="1"/>
  <c r="D224" i="19" a="1"/>
  <c r="D224" i="19" s="1"/>
  <c r="D223" i="19" a="1"/>
  <c r="D223" i="19" s="1"/>
  <c r="D222" i="19" a="1"/>
  <c r="D222" i="19" s="1"/>
  <c r="D221" i="19" a="1"/>
  <c r="D221" i="19" s="1"/>
  <c r="D219" i="19" a="1"/>
  <c r="D219" i="19" s="1"/>
  <c r="D218" i="19" a="1"/>
  <c r="D218" i="19" s="1"/>
  <c r="D217" i="19" a="1"/>
  <c r="D217" i="19" s="1"/>
  <c r="D216" i="19" a="1"/>
  <c r="D216" i="19" s="1"/>
  <c r="D215" i="19" a="1"/>
  <c r="D215" i="19" s="1"/>
  <c r="D214" i="19" a="1"/>
  <c r="D214" i="19" s="1"/>
  <c r="D213" i="19" a="1"/>
  <c r="D213" i="19" s="1"/>
  <c r="D212" i="19" a="1"/>
  <c r="D212" i="19" s="1"/>
  <c r="D211" i="19" a="1"/>
  <c r="D211" i="19" s="1"/>
  <c r="D210" i="19" a="1"/>
  <c r="D210" i="19" s="1"/>
  <c r="D209" i="19" a="1"/>
  <c r="D209" i="19" s="1"/>
  <c r="D208" i="19" a="1"/>
  <c r="D208" i="19" s="1"/>
  <c r="D207" i="19" a="1"/>
  <c r="D207" i="19" s="1"/>
  <c r="D206" i="19" a="1"/>
  <c r="D206" i="19" s="1"/>
  <c r="D205" i="19" a="1"/>
  <c r="D205" i="19" s="1"/>
  <c r="D204" i="19" a="1"/>
  <c r="D204" i="19" s="1"/>
  <c r="D203" i="19" a="1"/>
  <c r="D203" i="19" s="1"/>
  <c r="D202" i="19" a="1"/>
  <c r="D202" i="19" s="1"/>
  <c r="D201" i="19" a="1"/>
  <c r="D201" i="19" s="1"/>
  <c r="D200" i="19" a="1"/>
  <c r="D200" i="19" s="1"/>
  <c r="D199" i="19" a="1"/>
  <c r="D199" i="19" s="1"/>
  <c r="D198" i="19" a="1"/>
  <c r="D198" i="19" s="1"/>
  <c r="D197" i="19" a="1"/>
  <c r="D197" i="19" s="1"/>
  <c r="D196" i="19" a="1"/>
  <c r="D196" i="19" s="1"/>
  <c r="D195" i="19" a="1"/>
  <c r="D195" i="19" s="1"/>
  <c r="D194" i="19" a="1"/>
  <c r="D194" i="19" s="1"/>
  <c r="D193" i="19" a="1"/>
  <c r="D193" i="19" s="1"/>
  <c r="D192" i="19" a="1"/>
  <c r="D192" i="19" s="1"/>
  <c r="D191" i="19" a="1"/>
  <c r="D191" i="19" s="1"/>
  <c r="D190" i="19" a="1"/>
  <c r="D190" i="19" s="1"/>
  <c r="D189" i="19" a="1"/>
  <c r="D189" i="19" s="1"/>
  <c r="D188" i="19" a="1"/>
  <c r="D188" i="19" s="1"/>
  <c r="D187" i="19" a="1"/>
  <c r="D187" i="19" s="1"/>
  <c r="D186" i="19" a="1"/>
  <c r="D186" i="19" s="1"/>
  <c r="D185" i="19" a="1"/>
  <c r="D185" i="19" s="1"/>
  <c r="D184" i="19" a="1"/>
  <c r="D184" i="19" s="1"/>
  <c r="D183" i="19" a="1"/>
  <c r="D183" i="19" s="1"/>
  <c r="D182" i="19" a="1"/>
  <c r="D182" i="19" s="1"/>
  <c r="D181" i="19" a="1"/>
  <c r="D181" i="19" s="1"/>
  <c r="D180" i="19" a="1"/>
  <c r="D180" i="19" s="1"/>
  <c r="D179" i="19" a="1"/>
  <c r="D179" i="19" s="1"/>
  <c r="D178" i="19" a="1"/>
  <c r="D178" i="19" s="1"/>
  <c r="D177" i="19" a="1"/>
  <c r="D177" i="19" s="1"/>
  <c r="D176" i="19" a="1"/>
  <c r="D176" i="19" s="1"/>
  <c r="D175" i="19" a="1"/>
  <c r="D175" i="19" s="1"/>
  <c r="D174" i="19" a="1"/>
  <c r="D174" i="19" s="1"/>
  <c r="D173" i="19" a="1"/>
  <c r="D173" i="19" s="1"/>
  <c r="D172" i="19" a="1"/>
  <c r="D172" i="19" s="1"/>
  <c r="D171" i="19" a="1"/>
  <c r="D171" i="19" s="1"/>
  <c r="D170" i="19" a="1"/>
  <c r="D170" i="19" s="1"/>
  <c r="D169" i="19" a="1"/>
  <c r="D169" i="19" s="1"/>
  <c r="D168" i="19" a="1"/>
  <c r="D168" i="19" s="1"/>
  <c r="D167" i="19" a="1"/>
  <c r="D167" i="19" s="1"/>
  <c r="D166" i="19" a="1"/>
  <c r="D166" i="19" s="1"/>
  <c r="D165" i="19" a="1"/>
  <c r="D165" i="19" s="1"/>
  <c r="D164" i="19" a="1"/>
  <c r="D164" i="19" s="1"/>
  <c r="D163" i="19" a="1"/>
  <c r="D163" i="19" s="1"/>
  <c r="D162" i="19" a="1"/>
  <c r="D162" i="19" s="1"/>
  <c r="D161" i="19" a="1"/>
  <c r="D161" i="19" s="1"/>
  <c r="D160" i="19" a="1"/>
  <c r="D160" i="19" s="1"/>
  <c r="D159" i="19" a="1"/>
  <c r="D159" i="19" s="1"/>
  <c r="D158" i="19" a="1"/>
  <c r="D158" i="19" s="1"/>
  <c r="D157" i="19" a="1"/>
  <c r="D157" i="19" s="1"/>
  <c r="D156" i="19" a="1"/>
  <c r="D156" i="19" s="1"/>
  <c r="D155" i="19" a="1"/>
  <c r="D155" i="19" s="1"/>
  <c r="D154" i="19" a="1"/>
  <c r="D154" i="19" s="1"/>
  <c r="D153" i="19" a="1"/>
  <c r="D153" i="19" s="1"/>
  <c r="D152" i="19" a="1"/>
  <c r="D152" i="19" s="1"/>
  <c r="D151" i="19" a="1"/>
  <c r="D151" i="19" s="1"/>
  <c r="D150" i="19" a="1"/>
  <c r="D150" i="19" s="1"/>
  <c r="D149" i="19" a="1"/>
  <c r="D149" i="19" s="1"/>
  <c r="D148" i="19" a="1"/>
  <c r="D148" i="19" s="1"/>
  <c r="D147" i="19" a="1"/>
  <c r="D147" i="19" s="1"/>
  <c r="D146" i="19" a="1"/>
  <c r="D146" i="19" s="1"/>
  <c r="D145" i="19" a="1"/>
  <c r="D145" i="19" s="1"/>
  <c r="D144" i="19" a="1"/>
  <c r="D144" i="19" s="1"/>
  <c r="D143" i="19" a="1"/>
  <c r="D143" i="19" s="1"/>
  <c r="D142" i="19" a="1"/>
  <c r="D142" i="19" s="1"/>
  <c r="D141" i="19" a="1"/>
  <c r="D141" i="19" s="1"/>
  <c r="D140" i="19" a="1"/>
  <c r="D140" i="19" s="1"/>
  <c r="D139" i="19" a="1"/>
  <c r="D139" i="19" s="1"/>
  <c r="D138" i="19" a="1"/>
  <c r="D138" i="19" s="1"/>
  <c r="D137" i="19" a="1"/>
  <c r="D137" i="19" s="1"/>
  <c r="D136" i="19" a="1"/>
  <c r="D136" i="19" s="1"/>
  <c r="D135" i="19" a="1"/>
  <c r="D135" i="19" s="1"/>
  <c r="D134" i="19" a="1"/>
  <c r="D134" i="19" s="1"/>
  <c r="D133" i="19" a="1"/>
  <c r="D133" i="19" s="1"/>
  <c r="D132" i="19" a="1"/>
  <c r="D132" i="19" s="1"/>
  <c r="D131" i="19" a="1"/>
  <c r="D131" i="19" s="1"/>
  <c r="D130" i="19" a="1"/>
  <c r="D130" i="19" s="1"/>
  <c r="D129" i="19" a="1"/>
  <c r="D129" i="19" s="1"/>
  <c r="D128" i="19" a="1"/>
  <c r="D128" i="19" s="1"/>
  <c r="D127" i="19" a="1"/>
  <c r="D127" i="19" s="1"/>
  <c r="D126" i="19" a="1"/>
  <c r="D126" i="19" s="1"/>
  <c r="D125" i="19" a="1"/>
  <c r="D125" i="19" s="1"/>
  <c r="D124" i="19" a="1"/>
  <c r="D124" i="19" s="1"/>
  <c r="D123" i="19" a="1"/>
  <c r="D123" i="19" s="1"/>
  <c r="D122" i="19" a="1"/>
  <c r="D122" i="19" s="1"/>
  <c r="D121" i="19" a="1"/>
  <c r="D121" i="19" s="1"/>
  <c r="D120" i="19" a="1"/>
  <c r="D120" i="19" s="1"/>
  <c r="D119" i="19" a="1"/>
  <c r="D119" i="19" s="1"/>
  <c r="D118" i="19" a="1"/>
  <c r="D118" i="19" s="1"/>
  <c r="D117" i="19" a="1"/>
  <c r="D117" i="19" s="1"/>
  <c r="D116" i="19" a="1"/>
  <c r="D116" i="19" s="1"/>
  <c r="D115" i="19" a="1"/>
  <c r="D115" i="19" s="1"/>
  <c r="D114" i="19" a="1"/>
  <c r="D114" i="19" s="1"/>
  <c r="D113" i="19" a="1"/>
  <c r="D113" i="19" s="1"/>
  <c r="D112" i="19" a="1"/>
  <c r="D112" i="19" s="1"/>
  <c r="D111" i="19" a="1"/>
  <c r="D111" i="19" s="1"/>
  <c r="D110" i="19" a="1"/>
  <c r="D110" i="19" s="1"/>
  <c r="D109" i="19" a="1"/>
  <c r="D109" i="19" s="1"/>
  <c r="D108" i="19" a="1"/>
  <c r="D108" i="19" s="1"/>
  <c r="D107" i="19" a="1"/>
  <c r="D107" i="19" s="1"/>
  <c r="D106" i="19" a="1"/>
  <c r="D106" i="19" s="1"/>
  <c r="D105" i="19" a="1"/>
  <c r="D105" i="19" s="1"/>
  <c r="D104" i="19" a="1"/>
  <c r="D104" i="19" s="1"/>
  <c r="D103" i="19" a="1"/>
  <c r="D103" i="19" s="1"/>
  <c r="D102" i="19" a="1"/>
  <c r="D102" i="19" s="1"/>
  <c r="D101" i="19" a="1"/>
  <c r="D101" i="19" s="1"/>
  <c r="D100" i="19" a="1"/>
  <c r="D100" i="19" s="1"/>
  <c r="D99" i="19" a="1"/>
  <c r="D99" i="19" s="1"/>
  <c r="D98" i="19" a="1"/>
  <c r="D98" i="19" s="1"/>
  <c r="D97" i="19" a="1"/>
  <c r="D97" i="19" s="1"/>
  <c r="D96" i="19" a="1"/>
  <c r="D96" i="19" s="1"/>
  <c r="D95" i="19" a="1"/>
  <c r="D95" i="19" s="1"/>
  <c r="D94" i="19" a="1"/>
  <c r="D94" i="19" s="1"/>
  <c r="D93" i="19" a="1"/>
  <c r="D93" i="19" s="1"/>
  <c r="D92" i="19" a="1"/>
  <c r="D92" i="19" s="1"/>
  <c r="D91" i="19" a="1"/>
  <c r="D91" i="19" s="1"/>
  <c r="D90" i="19" a="1"/>
  <c r="D90" i="19" s="1"/>
  <c r="D89" i="19" a="1"/>
  <c r="D89" i="19" s="1"/>
  <c r="D88" i="19" a="1"/>
  <c r="D88" i="19" s="1"/>
  <c r="D87" i="19" a="1"/>
  <c r="D87" i="19" s="1"/>
  <c r="D86" i="19" a="1"/>
  <c r="D86" i="19" s="1"/>
  <c r="D85" i="19" a="1"/>
  <c r="D85" i="19" s="1"/>
  <c r="D84" i="19" a="1"/>
  <c r="D84" i="19" s="1"/>
  <c r="D83" i="19" a="1"/>
  <c r="D83" i="19" s="1"/>
  <c r="D82" i="19" a="1"/>
  <c r="D82" i="19" s="1"/>
  <c r="D81" i="19" a="1"/>
  <c r="D81" i="19" s="1"/>
  <c r="D80" i="19" a="1"/>
  <c r="D80" i="19" s="1"/>
  <c r="D79" i="19" a="1"/>
  <c r="D79" i="19" s="1"/>
  <c r="D78" i="19" a="1"/>
  <c r="D78" i="19" s="1"/>
  <c r="D77" i="19" a="1"/>
  <c r="D77" i="19" s="1"/>
  <c r="D76" i="19" a="1"/>
  <c r="D76" i="19" s="1"/>
  <c r="D75" i="19" a="1"/>
  <c r="D75" i="19" s="1"/>
  <c r="D74" i="19" a="1"/>
  <c r="D74" i="19" s="1"/>
  <c r="D73" i="19" a="1"/>
  <c r="D73" i="19" s="1"/>
  <c r="D72" i="19" a="1"/>
  <c r="D72" i="19" s="1"/>
  <c r="D71" i="19" a="1"/>
  <c r="D71" i="19" s="1"/>
  <c r="D70" i="19" a="1"/>
  <c r="D70" i="19" s="1"/>
  <c r="D69" i="19" a="1"/>
  <c r="D69" i="19" s="1"/>
  <c r="D68" i="19" a="1"/>
  <c r="D68" i="19" s="1"/>
  <c r="D67" i="19" a="1"/>
  <c r="D67" i="19" s="1"/>
  <c r="D66" i="19" a="1"/>
  <c r="D66" i="19" s="1"/>
  <c r="D65" i="19" a="1"/>
  <c r="D65" i="19" s="1"/>
  <c r="D64" i="19" a="1"/>
  <c r="D64" i="19" s="1"/>
  <c r="D63" i="19" a="1"/>
  <c r="D63" i="19" s="1"/>
  <c r="D62" i="19" a="1"/>
  <c r="D62" i="19" s="1"/>
  <c r="D61" i="19" a="1"/>
  <c r="D61" i="19" s="1"/>
  <c r="D60" i="19" a="1"/>
  <c r="D60" i="19" s="1"/>
  <c r="D59" i="19" a="1"/>
  <c r="D59" i="19" s="1"/>
  <c r="D58" i="19" a="1"/>
  <c r="D58" i="19" s="1"/>
  <c r="D57" i="19" a="1"/>
  <c r="D57" i="19" s="1"/>
  <c r="D56" i="19" a="1"/>
  <c r="D56" i="19" s="1"/>
  <c r="D55" i="19" a="1"/>
  <c r="D55" i="19" s="1"/>
  <c r="D54" i="19" a="1"/>
  <c r="D54" i="19" s="1"/>
  <c r="D53" i="19" a="1"/>
  <c r="D53" i="19" s="1"/>
  <c r="D52" i="19" a="1"/>
  <c r="D52" i="19" s="1"/>
  <c r="D51" i="19" a="1"/>
  <c r="D51" i="19" s="1"/>
  <c r="D50" i="19" a="1"/>
  <c r="D50" i="19" s="1"/>
  <c r="D49" i="19" a="1"/>
  <c r="D49" i="19" s="1"/>
  <c r="D48" i="19" a="1"/>
  <c r="D48" i="19" s="1"/>
  <c r="D47" i="19" a="1"/>
  <c r="D47" i="19" s="1"/>
  <c r="D46" i="19" a="1"/>
  <c r="D46" i="19" s="1"/>
  <c r="D45" i="19" a="1"/>
  <c r="D45" i="19" s="1"/>
  <c r="D44" i="19" a="1"/>
  <c r="D44" i="19" s="1"/>
  <c r="D43" i="19" a="1"/>
  <c r="D43" i="19" s="1"/>
  <c r="D42" i="19" a="1"/>
  <c r="D42" i="19" s="1"/>
  <c r="D41" i="19" a="1"/>
  <c r="D41" i="19" s="1"/>
  <c r="D40" i="19" a="1"/>
  <c r="D40" i="19" s="1"/>
  <c r="D39" i="19" a="1"/>
  <c r="D39" i="19" s="1"/>
  <c r="D38" i="19" a="1"/>
  <c r="D38" i="19" s="1"/>
  <c r="D37" i="19" a="1"/>
  <c r="D37" i="19" s="1"/>
  <c r="D36" i="19" a="1"/>
  <c r="D36" i="19" s="1"/>
  <c r="D35" i="19" a="1"/>
  <c r="D35" i="19" s="1"/>
  <c r="D34" i="19" a="1"/>
  <c r="D34" i="19" s="1"/>
  <c r="D33" i="19" a="1"/>
  <c r="D33" i="19" s="1"/>
  <c r="D32" i="19" a="1"/>
  <c r="D32" i="19" s="1"/>
  <c r="D31" i="19" a="1"/>
  <c r="D31" i="19" s="1"/>
  <c r="D30" i="19" a="1"/>
  <c r="D30" i="19" s="1"/>
  <c r="D29" i="19" a="1"/>
  <c r="D29" i="19" s="1"/>
  <c r="D28" i="19" a="1"/>
  <c r="D28" i="19" s="1"/>
  <c r="D27" i="19" a="1"/>
  <c r="D27" i="19" s="1"/>
  <c r="D26" i="19" a="1"/>
  <c r="D26" i="19" s="1"/>
  <c r="D25" i="19" a="1"/>
  <c r="D25" i="19" s="1"/>
  <c r="D24" i="19" a="1"/>
  <c r="D24" i="19" s="1"/>
  <c r="D23" i="19" a="1"/>
  <c r="D23" i="19" s="1"/>
  <c r="D22" i="19" a="1"/>
  <c r="D22" i="19" s="1"/>
  <c r="D21" i="19" a="1"/>
  <c r="D21" i="19" s="1"/>
  <c r="D20" i="19" a="1"/>
  <c r="D20" i="19" s="1"/>
  <c r="D19" i="19" a="1"/>
  <c r="D19" i="19" s="1"/>
  <c r="D18" i="19" a="1"/>
  <c r="D18" i="19" s="1"/>
  <c r="D16" i="19" a="1"/>
  <c r="D16" i="19" s="1"/>
  <c r="D15" i="19" a="1"/>
  <c r="D15" i="19" s="1"/>
  <c r="D14" i="19" a="1"/>
  <c r="D14" i="19" s="1"/>
  <c r="D13" i="19" a="1"/>
  <c r="D13" i="19" s="1"/>
  <c r="D12" i="19" a="1"/>
  <c r="D12" i="19" s="1"/>
  <c r="D11" i="19" a="1"/>
  <c r="D11" i="19" s="1"/>
  <c r="D10" i="19" a="1"/>
  <c r="D10" i="19" s="1"/>
  <c r="D9" i="19" a="1"/>
  <c r="D9" i="19" s="1"/>
  <c r="D8" i="19" a="1"/>
  <c r="D8" i="19" s="1"/>
  <c r="C172" i="17" l="1"/>
  <c r="B172" i="17"/>
  <c r="R172" i="17"/>
  <c r="R31" i="17"/>
  <c r="B31" i="17"/>
  <c r="B203" i="17" l="1"/>
  <c r="C203" i="17"/>
  <c r="O116" i="17"/>
  <c r="D294" i="23"/>
  <c r="D293" i="23"/>
  <c r="D292" i="23"/>
  <c r="D291" i="23"/>
  <c r="D290" i="23"/>
  <c r="D289" i="23"/>
  <c r="D288" i="23"/>
  <c r="D287" i="23"/>
  <c r="D286" i="23"/>
  <c r="D285" i="23"/>
  <c r="D284" i="23"/>
  <c r="D283" i="23"/>
  <c r="D282" i="23"/>
  <c r="D281" i="23"/>
  <c r="D280" i="23"/>
  <c r="D279" i="23"/>
  <c r="D278" i="23"/>
  <c r="D277" i="23"/>
  <c r="D276" i="23"/>
  <c r="D275" i="23"/>
  <c r="D274" i="23"/>
  <c r="D273" i="23"/>
  <c r="D272" i="23"/>
  <c r="D271" i="23"/>
  <c r="D270" i="23"/>
  <c r="D269" i="23"/>
  <c r="D268" i="23"/>
  <c r="D267" i="23"/>
  <c r="D266" i="23"/>
  <c r="D265" i="23"/>
  <c r="D264" i="23"/>
  <c r="D263" i="23"/>
  <c r="D262" i="23"/>
  <c r="D261" i="23"/>
  <c r="D260" i="23"/>
  <c r="D259" i="23"/>
  <c r="D257" i="23"/>
  <c r="D256" i="23"/>
  <c r="D255" i="23"/>
  <c r="D254" i="23"/>
  <c r="D253" i="23"/>
  <c r="D252" i="23"/>
  <c r="D251" i="23"/>
  <c r="D250" i="23"/>
  <c r="D249" i="23"/>
  <c r="D258" i="23"/>
  <c r="H257" i="23"/>
  <c r="D248" i="23"/>
  <c r="D247" i="23"/>
  <c r="D246" i="23"/>
  <c r="D245" i="23"/>
  <c r="D244" i="23"/>
  <c r="D243" i="23"/>
  <c r="D242" i="23"/>
  <c r="D241" i="23"/>
  <c r="D240" i="23"/>
  <c r="D239" i="23"/>
  <c r="D238" i="23"/>
  <c r="D237" i="23"/>
  <c r="D236" i="23"/>
  <c r="D235" i="23"/>
  <c r="D234" i="23"/>
  <c r="D233" i="23"/>
  <c r="D232" i="23"/>
  <c r="D231" i="23"/>
  <c r="D230" i="23"/>
  <c r="D222" i="23"/>
  <c r="D223" i="23"/>
  <c r="D224" i="23"/>
  <c r="D225" i="23"/>
  <c r="D226" i="23"/>
  <c r="D227" i="23"/>
  <c r="D228" i="23"/>
  <c r="D229" i="23"/>
  <c r="D221" i="23"/>
  <c r="D212" i="23"/>
  <c r="D213" i="23"/>
  <c r="D215" i="23"/>
  <c r="D216" i="23"/>
  <c r="D218" i="23"/>
  <c r="B124" i="17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H208" i="23"/>
  <c r="B190" i="17"/>
  <c r="C192" i="17"/>
  <c r="C191" i="17"/>
  <c r="N192" i="17"/>
  <c r="N191" i="17"/>
  <c r="N190" i="17"/>
  <c r="O191" i="17"/>
  <c r="O192" i="17"/>
  <c r="O190" i="17"/>
  <c r="R190" i="17" s="1"/>
  <c r="B191" i="17"/>
  <c r="Q191" i="17"/>
  <c r="B192" i="17"/>
  <c r="Q192" i="17"/>
  <c r="D193" i="23"/>
  <c r="D192" i="23"/>
  <c r="D191" i="23"/>
  <c r="D190" i="23"/>
  <c r="D189" i="23"/>
  <c r="D188" i="23"/>
  <c r="D187" i="23"/>
  <c r="D186" i="23"/>
  <c r="D185" i="23"/>
  <c r="D184" i="23"/>
  <c r="D183" i="23"/>
  <c r="D182" i="23"/>
  <c r="D181" i="23"/>
  <c r="D180" i="23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166" i="23"/>
  <c r="D165" i="23"/>
  <c r="D164" i="23"/>
  <c r="D163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4" i="23"/>
  <c r="D132" i="23"/>
  <c r="D133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H116" i="23"/>
  <c r="D113" i="23"/>
  <c r="D112" i="23"/>
  <c r="D111" i="23"/>
  <c r="D110" i="23"/>
  <c r="D109" i="23"/>
  <c r="D108" i="23"/>
  <c r="D80" i="23"/>
  <c r="D81" i="23"/>
  <c r="D82" i="23"/>
  <c r="D83" i="23"/>
  <c r="D84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79" i="23"/>
  <c r="D54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3" i="23"/>
  <c r="C190" i="17"/>
  <c r="B201" i="17"/>
  <c r="C201" i="17"/>
  <c r="C184" i="17"/>
  <c r="C185" i="17"/>
  <c r="C186" i="17"/>
  <c r="H22" i="23"/>
  <c r="Q201" i="17"/>
  <c r="R201" i="17" s="1"/>
  <c r="C202" i="17"/>
  <c r="B202" i="17"/>
  <c r="Q202" i="17"/>
  <c r="R202" i="17" s="1"/>
  <c r="J6" i="23"/>
  <c r="I363" i="19"/>
  <c r="I362" i="19"/>
  <c r="I131" i="19"/>
  <c r="I130" i="19"/>
  <c r="Q117" i="17" s="1"/>
  <c r="I129" i="19"/>
  <c r="I128" i="19"/>
  <c r="I127" i="19"/>
  <c r="I126" i="19"/>
  <c r="I125" i="19"/>
  <c r="O196" i="17"/>
  <c r="R196" i="17" s="1"/>
  <c r="O195" i="17"/>
  <c r="R195" i="17" s="1"/>
  <c r="O194" i="17"/>
  <c r="O200" i="17"/>
  <c r="R200" i="17" s="1"/>
  <c r="O199" i="17"/>
  <c r="O198" i="17"/>
  <c r="R198" i="17" s="1"/>
  <c r="O197" i="17"/>
  <c r="R197" i="17" s="1"/>
  <c r="N200" i="17"/>
  <c r="N199" i="17"/>
  <c r="N198" i="17"/>
  <c r="N197" i="17"/>
  <c r="C200" i="17"/>
  <c r="C199" i="17"/>
  <c r="C198" i="17"/>
  <c r="C197" i="17"/>
  <c r="B197" i="17"/>
  <c r="B198" i="17"/>
  <c r="B199" i="17"/>
  <c r="Q199" i="17"/>
  <c r="B200" i="17"/>
  <c r="Q23" i="17"/>
  <c r="R23" i="17" s="1"/>
  <c r="C23" i="17"/>
  <c r="B23" i="17"/>
  <c r="R203" i="17"/>
  <c r="N196" i="17"/>
  <c r="N195" i="17"/>
  <c r="N194" i="17"/>
  <c r="C196" i="17"/>
  <c r="C195" i="17"/>
  <c r="C194" i="17"/>
  <c r="B194" i="17"/>
  <c r="Q194" i="17"/>
  <c r="B195" i="17"/>
  <c r="B196" i="17"/>
  <c r="C193" i="17"/>
  <c r="B193" i="17"/>
  <c r="Q193" i="17"/>
  <c r="R193" i="17" s="1"/>
  <c r="O34" i="17"/>
  <c r="N34" i="17"/>
  <c r="I575" i="19"/>
  <c r="C24" i="17"/>
  <c r="B24" i="17"/>
  <c r="Q24" i="17"/>
  <c r="R24" i="17" s="1"/>
  <c r="C22" i="17"/>
  <c r="B22" i="17"/>
  <c r="Q22" i="17"/>
  <c r="R22" i="17" s="1"/>
  <c r="C21" i="17"/>
  <c r="B21" i="17"/>
  <c r="Q21" i="17"/>
  <c r="R21" i="17" s="1"/>
  <c r="Q20" i="17"/>
  <c r="R20" i="17" s="1"/>
  <c r="B20" i="17"/>
  <c r="C20" i="17"/>
  <c r="N20" i="17"/>
  <c r="R3" i="17"/>
  <c r="R5" i="17"/>
  <c r="R7" i="17"/>
  <c r="R11" i="17"/>
  <c r="R17" i="17"/>
  <c r="R18" i="17"/>
  <c r="R19" i="17"/>
  <c r="R32" i="17"/>
  <c r="R33" i="17"/>
  <c r="R36" i="17"/>
  <c r="R46" i="17"/>
  <c r="R68" i="17"/>
  <c r="R69" i="17"/>
  <c r="R71" i="17"/>
  <c r="R86" i="17"/>
  <c r="R92" i="17"/>
  <c r="R124" i="17"/>
  <c r="R130" i="17"/>
  <c r="R142" i="17"/>
  <c r="R153" i="17"/>
  <c r="R154" i="17"/>
  <c r="R167" i="17"/>
  <c r="R168" i="17"/>
  <c r="R169" i="17"/>
  <c r="R170" i="17"/>
  <c r="R173" i="17"/>
  <c r="R175" i="17"/>
  <c r="R177" i="17"/>
  <c r="R184" i="17"/>
  <c r="R185" i="17"/>
  <c r="I99" i="19"/>
  <c r="C1" i="24"/>
  <c r="O186" i="17"/>
  <c r="O189" i="17"/>
  <c r="R189" i="17" s="1"/>
  <c r="N186" i="17"/>
  <c r="N189" i="17"/>
  <c r="O188" i="17"/>
  <c r="R188" i="17" s="1"/>
  <c r="N188" i="17"/>
  <c r="O187" i="17"/>
  <c r="R187" i="17" s="1"/>
  <c r="N187" i="17"/>
  <c r="C25" i="17"/>
  <c r="Q123" i="17"/>
  <c r="Q25" i="17"/>
  <c r="R25" i="17" s="1"/>
  <c r="Q186" i="17"/>
  <c r="Q174" i="17"/>
  <c r="R174" i="17" s="1"/>
  <c r="Q116" i="17"/>
  <c r="O171" i="17"/>
  <c r="B12" i="17"/>
  <c r="C12" i="17"/>
  <c r="C11" i="17"/>
  <c r="C10" i="17"/>
  <c r="C8" i="17"/>
  <c r="C5" i="17"/>
  <c r="O113" i="17"/>
  <c r="R113" i="17" s="1"/>
  <c r="O112" i="17"/>
  <c r="R112" i="17" s="1"/>
  <c r="O111" i="17"/>
  <c r="O110" i="17"/>
  <c r="R110" i="17" s="1"/>
  <c r="O109" i="17"/>
  <c r="R109" i="17" s="1"/>
  <c r="O108" i="17"/>
  <c r="R108" i="17" s="1"/>
  <c r="O134" i="17"/>
  <c r="R134" i="17" s="1"/>
  <c r="O133" i="17"/>
  <c r="R133" i="17" s="1"/>
  <c r="O132" i="17"/>
  <c r="O131" i="17"/>
  <c r="R131" i="17" s="1"/>
  <c r="O129" i="17"/>
  <c r="R129" i="17" s="1"/>
  <c r="O128" i="17"/>
  <c r="R128" i="17" s="1"/>
  <c r="O127" i="17"/>
  <c r="O126" i="17"/>
  <c r="R126" i="17" s="1"/>
  <c r="O125" i="17"/>
  <c r="R125" i="17" s="1"/>
  <c r="O118" i="17"/>
  <c r="R118" i="17" s="1"/>
  <c r="O117" i="17"/>
  <c r="O97" i="17"/>
  <c r="R97" i="17" s="1"/>
  <c r="O96" i="17"/>
  <c r="R96" i="17" s="1"/>
  <c r="O95" i="17"/>
  <c r="O94" i="17"/>
  <c r="R94" i="17" s="1"/>
  <c r="O91" i="17"/>
  <c r="R91" i="17" s="1"/>
  <c r="O90" i="17"/>
  <c r="O89" i="17"/>
  <c r="R89" i="17" s="1"/>
  <c r="O88" i="17"/>
  <c r="R88" i="17" s="1"/>
  <c r="O87" i="17"/>
  <c r="R87" i="17" s="1"/>
  <c r="O81" i="17"/>
  <c r="R81" i="17" s="1"/>
  <c r="O80" i="17"/>
  <c r="O79" i="17"/>
  <c r="R79" i="17" s="1"/>
  <c r="O67" i="17"/>
  <c r="O66" i="17"/>
  <c r="R66" i="17" s="1"/>
  <c r="O65" i="17"/>
  <c r="R65" i="17" s="1"/>
  <c r="O49" i="17"/>
  <c r="O48" i="17"/>
  <c r="R48" i="17" s="1"/>
  <c r="O27" i="17"/>
  <c r="R27" i="17" s="1"/>
  <c r="O26" i="17"/>
  <c r="R26" i="17" s="1"/>
  <c r="N165" i="17"/>
  <c r="N164" i="17"/>
  <c r="N163" i="17"/>
  <c r="N162" i="17"/>
  <c r="N161" i="17"/>
  <c r="N160" i="17"/>
  <c r="N26" i="17"/>
  <c r="N27" i="17"/>
  <c r="N8" i="17"/>
  <c r="N9" i="17"/>
  <c r="B19" i="17"/>
  <c r="C4" i="17"/>
  <c r="C63" i="17"/>
  <c r="C64" i="17"/>
  <c r="C62" i="17"/>
  <c r="B14" i="17"/>
  <c r="B15" i="17"/>
  <c r="B16" i="17"/>
  <c r="C16" i="17"/>
  <c r="B166" i="17"/>
  <c r="B167" i="17"/>
  <c r="B168" i="17"/>
  <c r="B169" i="17"/>
  <c r="B170" i="17"/>
  <c r="C166" i="17"/>
  <c r="C167" i="17"/>
  <c r="C168" i="17"/>
  <c r="C169" i="17"/>
  <c r="C170" i="17"/>
  <c r="C189" i="17"/>
  <c r="B189" i="17"/>
  <c r="B188" i="17"/>
  <c r="C188" i="17"/>
  <c r="C187" i="17"/>
  <c r="B186" i="17"/>
  <c r="B187" i="17"/>
  <c r="I395" i="19"/>
  <c r="B185" i="17"/>
  <c r="B184" i="17"/>
  <c r="I81" i="19"/>
  <c r="I80" i="19"/>
  <c r="I79" i="19"/>
  <c r="I76" i="19"/>
  <c r="I75" i="19"/>
  <c r="I74" i="19"/>
  <c r="I70" i="19"/>
  <c r="I69" i="19"/>
  <c r="I68" i="19"/>
  <c r="I64" i="19"/>
  <c r="I63" i="19"/>
  <c r="I62" i="19"/>
  <c r="I53" i="19"/>
  <c r="I52" i="19"/>
  <c r="I51" i="19"/>
  <c r="I24" i="19"/>
  <c r="I23" i="19"/>
  <c r="I22" i="19"/>
  <c r="I18" i="19"/>
  <c r="I17" i="19"/>
  <c r="I16" i="19"/>
  <c r="I10" i="19"/>
  <c r="I9" i="19"/>
  <c r="I8" i="19"/>
  <c r="N175" i="17"/>
  <c r="N174" i="17"/>
  <c r="P98" i="17"/>
  <c r="P141" i="17"/>
  <c r="P138" i="17"/>
  <c r="P140" i="17"/>
  <c r="P139" i="17"/>
  <c r="P137" i="17"/>
  <c r="P136" i="17"/>
  <c r="P125" i="17"/>
  <c r="P130" i="17"/>
  <c r="P129" i="17"/>
  <c r="P128" i="17"/>
  <c r="P127" i="17"/>
  <c r="P126" i="17"/>
  <c r="N127" i="17"/>
  <c r="N126" i="17"/>
  <c r="C116" i="17"/>
  <c r="C175" i="17"/>
  <c r="C174" i="17"/>
  <c r="C173" i="17"/>
  <c r="B116" i="17"/>
  <c r="P159" i="17"/>
  <c r="P158" i="17"/>
  <c r="P157" i="17"/>
  <c r="P156" i="17"/>
  <c r="P155" i="17"/>
  <c r="B175" i="17"/>
  <c r="B174" i="17"/>
  <c r="B173" i="17"/>
  <c r="P27" i="17"/>
  <c r="C26" i="17"/>
  <c r="B26" i="17"/>
  <c r="P67" i="17"/>
  <c r="P178" i="17"/>
  <c r="P82" i="17"/>
  <c r="N83" i="17"/>
  <c r="N85" i="17"/>
  <c r="N84" i="17"/>
  <c r="P42" i="17"/>
  <c r="P41" i="17"/>
  <c r="P77" i="17"/>
  <c r="P76" i="17"/>
  <c r="P75" i="17"/>
  <c r="P74" i="17"/>
  <c r="P73" i="17"/>
  <c r="P72" i="17"/>
  <c r="C115" i="17"/>
  <c r="B115" i="17"/>
  <c r="Q115" i="17"/>
  <c r="R115" i="17" s="1"/>
  <c r="P66" i="17"/>
  <c r="P65" i="17"/>
  <c r="P167" i="17"/>
  <c r="P170" i="17"/>
  <c r="P169" i="17"/>
  <c r="P168" i="17"/>
  <c r="P166" i="17"/>
  <c r="O166" i="17"/>
  <c r="R166" i="17" s="1"/>
  <c r="N171" i="17"/>
  <c r="N170" i="17"/>
  <c r="P6" i="17"/>
  <c r="P165" i="17"/>
  <c r="P164" i="17"/>
  <c r="P163" i="17"/>
  <c r="P162" i="17"/>
  <c r="P161" i="17"/>
  <c r="P160" i="17"/>
  <c r="P107" i="17"/>
  <c r="P106" i="17"/>
  <c r="P105" i="17"/>
  <c r="O107" i="17"/>
  <c r="R107" i="17" s="1"/>
  <c r="N107" i="17"/>
  <c r="Q144" i="17"/>
  <c r="P111" i="17"/>
  <c r="Q43" i="17"/>
  <c r="Q49" i="17"/>
  <c r="Q13" i="17"/>
  <c r="Q70" i="17"/>
  <c r="R70" i="17" s="1"/>
  <c r="Q75" i="17"/>
  <c r="Q47" i="17"/>
  <c r="R47" i="17" s="1"/>
  <c r="Q127" i="17"/>
  <c r="Q30" i="17"/>
  <c r="Q132" i="17"/>
  <c r="Q83" i="17"/>
  <c r="Q90" i="17"/>
  <c r="Q135" i="17"/>
  <c r="R135" i="17" s="1"/>
  <c r="Q138" i="17"/>
  <c r="Q98" i="17"/>
  <c r="R98" i="17" s="1"/>
  <c r="Q45" i="17"/>
  <c r="R45" i="17" s="1"/>
  <c r="Q152" i="17"/>
  <c r="R152" i="17" s="1"/>
  <c r="Q100" i="17"/>
  <c r="Q53" i="17"/>
  <c r="Q40" i="17"/>
  <c r="Q176" i="17"/>
  <c r="R176" i="17" s="1"/>
  <c r="Q6" i="17"/>
  <c r="Q4" i="17"/>
  <c r="R4" i="17" s="1"/>
  <c r="Q34" i="17"/>
  <c r="Q147" i="17"/>
  <c r="Q58" i="17"/>
  <c r="Q178" i="17"/>
  <c r="Q38" i="17"/>
  <c r="Q150" i="17"/>
  <c r="Q51" i="17"/>
  <c r="Q63" i="17"/>
  <c r="Q101" i="17"/>
  <c r="R101" i="17" s="1"/>
  <c r="Q181" i="17"/>
  <c r="Q16" i="17"/>
  <c r="Q105" i="17"/>
  <c r="Q52" i="17"/>
  <c r="R52" i="17" s="1"/>
  <c r="Q156" i="17"/>
  <c r="Q111" i="17"/>
  <c r="Q162" i="17"/>
  <c r="Q67" i="17"/>
  <c r="Q114" i="17"/>
  <c r="R114" i="17" s="1"/>
  <c r="P113" i="17"/>
  <c r="P108" i="17"/>
  <c r="P109" i="17"/>
  <c r="P110" i="17"/>
  <c r="P112" i="17"/>
  <c r="O44" i="17"/>
  <c r="R44" i="17" s="1"/>
  <c r="N45" i="17"/>
  <c r="N44" i="17"/>
  <c r="P45" i="17"/>
  <c r="P44" i="17"/>
  <c r="P144" i="17"/>
  <c r="P145" i="17"/>
  <c r="P143" i="17"/>
  <c r="N135" i="17"/>
  <c r="P87" i="17"/>
  <c r="P79" i="17"/>
  <c r="C114" i="17"/>
  <c r="B114" i="17"/>
  <c r="P52" i="17"/>
  <c r="P16" i="17"/>
  <c r="P101" i="17"/>
  <c r="P51" i="17"/>
  <c r="P150" i="17"/>
  <c r="P38" i="17"/>
  <c r="P34" i="17"/>
  <c r="P176" i="17"/>
  <c r="P40" i="17"/>
  <c r="P53" i="17"/>
  <c r="P100" i="17"/>
  <c r="P152" i="17"/>
  <c r="P25" i="17"/>
  <c r="P19" i="17"/>
  <c r="P135" i="17"/>
  <c r="P30" i="17"/>
  <c r="P123" i="17"/>
  <c r="P46" i="17"/>
  <c r="P47" i="17"/>
  <c r="P49" i="17"/>
  <c r="P43" i="17"/>
  <c r="C124" i="17"/>
  <c r="N169" i="17"/>
  <c r="N168" i="17"/>
  <c r="N167" i="17"/>
  <c r="N166" i="17"/>
  <c r="C171" i="17"/>
  <c r="B41" i="17"/>
  <c r="B42" i="17"/>
  <c r="B43" i="17"/>
  <c r="B48" i="17"/>
  <c r="B49" i="17"/>
  <c r="B10" i="17"/>
  <c r="B11" i="17"/>
  <c r="B13" i="17"/>
  <c r="B70" i="17"/>
  <c r="B69" i="17"/>
  <c r="B71" i="17"/>
  <c r="B9" i="17"/>
  <c r="B117" i="17"/>
  <c r="B8" i="17"/>
  <c r="B118" i="17"/>
  <c r="B75" i="17"/>
  <c r="B72" i="17"/>
  <c r="B73" i="17"/>
  <c r="B74" i="17"/>
  <c r="B76" i="17"/>
  <c r="B77" i="17"/>
  <c r="B47" i="17"/>
  <c r="B46" i="17"/>
  <c r="B17" i="17"/>
  <c r="B119" i="17"/>
  <c r="B120" i="17"/>
  <c r="B121" i="17"/>
  <c r="B122" i="17"/>
  <c r="B123" i="17"/>
  <c r="B125" i="17"/>
  <c r="B126" i="17"/>
  <c r="B127" i="17"/>
  <c r="B128" i="17"/>
  <c r="B129" i="17"/>
  <c r="B130" i="17"/>
  <c r="B27" i="17"/>
  <c r="B28" i="17"/>
  <c r="B29" i="17"/>
  <c r="B30" i="17"/>
  <c r="B132" i="17"/>
  <c r="B131" i="17"/>
  <c r="B133" i="17"/>
  <c r="B134" i="17"/>
  <c r="B78" i="17"/>
  <c r="B80" i="17"/>
  <c r="B79" i="17"/>
  <c r="B81" i="17"/>
  <c r="B82" i="17"/>
  <c r="B83" i="17"/>
  <c r="B84" i="17"/>
  <c r="B85" i="17"/>
  <c r="B135" i="17"/>
  <c r="B86" i="17"/>
  <c r="B87" i="17"/>
  <c r="B88" i="17"/>
  <c r="B89" i="17"/>
  <c r="B91" i="17"/>
  <c r="B90" i="17"/>
  <c r="B136" i="17"/>
  <c r="B137" i="17"/>
  <c r="B138" i="17"/>
  <c r="B139" i="17"/>
  <c r="B140" i="17"/>
  <c r="B141" i="17"/>
  <c r="B92" i="17"/>
  <c r="B93" i="17"/>
  <c r="B94" i="17"/>
  <c r="B96" i="17"/>
  <c r="B97" i="17"/>
  <c r="B95" i="17"/>
  <c r="B98" i="17"/>
  <c r="B144" i="17"/>
  <c r="B142" i="17"/>
  <c r="B143" i="17"/>
  <c r="B145" i="17"/>
  <c r="B44" i="17"/>
  <c r="B45" i="17"/>
  <c r="B18" i="17"/>
  <c r="B25" i="17"/>
  <c r="B152" i="17"/>
  <c r="B153" i="17"/>
  <c r="B154" i="17"/>
  <c r="B100" i="17"/>
  <c r="B99" i="17"/>
  <c r="B54" i="17"/>
  <c r="B53" i="17"/>
  <c r="B39" i="17"/>
  <c r="B40" i="17"/>
  <c r="B176" i="17"/>
  <c r="B177" i="17"/>
  <c r="B5" i="17"/>
  <c r="B6" i="17"/>
  <c r="B7" i="17"/>
  <c r="B3" i="17"/>
  <c r="B32" i="17"/>
  <c r="B33" i="17"/>
  <c r="B4" i="17"/>
  <c r="B34" i="17"/>
  <c r="B147" i="17"/>
  <c r="B148" i="17"/>
  <c r="B55" i="17"/>
  <c r="B56" i="17"/>
  <c r="B57" i="17"/>
  <c r="B59" i="17"/>
  <c r="B60" i="17"/>
  <c r="B58" i="17"/>
  <c r="B178" i="17"/>
  <c r="B180" i="17"/>
  <c r="B179" i="17"/>
  <c r="B38" i="17"/>
  <c r="B35" i="17"/>
  <c r="B36" i="17"/>
  <c r="B37" i="17"/>
  <c r="B149" i="17"/>
  <c r="B150" i="17"/>
  <c r="B151" i="17"/>
  <c r="B51" i="17"/>
  <c r="B50" i="17"/>
  <c r="B101" i="17"/>
  <c r="B61" i="17"/>
  <c r="B62" i="17"/>
  <c r="B64" i="17"/>
  <c r="B63" i="17"/>
  <c r="B181" i="17"/>
  <c r="B182" i="17"/>
  <c r="B183" i="17"/>
  <c r="B103" i="17"/>
  <c r="B102" i="17"/>
  <c r="B104" i="17"/>
  <c r="B52" i="17"/>
  <c r="B106" i="17"/>
  <c r="B107" i="17"/>
  <c r="B105" i="17"/>
  <c r="B155" i="17"/>
  <c r="B156" i="17"/>
  <c r="B157" i="17"/>
  <c r="B158" i="17"/>
  <c r="B159" i="17"/>
  <c r="B108" i="17"/>
  <c r="B109" i="17"/>
  <c r="B110" i="17"/>
  <c r="B112" i="17"/>
  <c r="B113" i="17"/>
  <c r="B111" i="17"/>
  <c r="B160" i="17"/>
  <c r="B161" i="17"/>
  <c r="B163" i="17"/>
  <c r="B164" i="17"/>
  <c r="B165" i="17"/>
  <c r="B162" i="17"/>
  <c r="B65" i="17"/>
  <c r="B66" i="17"/>
  <c r="B68" i="17"/>
  <c r="B67" i="17"/>
  <c r="B171" i="17"/>
  <c r="N49" i="17"/>
  <c r="N48" i="17"/>
  <c r="C49" i="17"/>
  <c r="C48" i="17"/>
  <c r="N47" i="17"/>
  <c r="N46" i="17"/>
  <c r="C47" i="17"/>
  <c r="C46" i="17"/>
  <c r="C104" i="17"/>
  <c r="C103" i="17"/>
  <c r="C102" i="17"/>
  <c r="O104" i="17"/>
  <c r="R104" i="17" s="1"/>
  <c r="O103" i="17"/>
  <c r="O102" i="17"/>
  <c r="R102" i="17" s="1"/>
  <c r="N104" i="17"/>
  <c r="N103" i="17"/>
  <c r="N102" i="17"/>
  <c r="C52" i="17"/>
  <c r="O43" i="17"/>
  <c r="O42" i="17"/>
  <c r="R42" i="17" s="1"/>
  <c r="O41" i="17"/>
  <c r="R41" i="17" s="1"/>
  <c r="N43" i="17"/>
  <c r="N42" i="17"/>
  <c r="N41" i="17"/>
  <c r="C42" i="17"/>
  <c r="O159" i="17"/>
  <c r="R159" i="17" s="1"/>
  <c r="N159" i="17"/>
  <c r="O60" i="17"/>
  <c r="R60" i="17" s="1"/>
  <c r="O59" i="17"/>
  <c r="R59" i="17" s="1"/>
  <c r="N60" i="17"/>
  <c r="N59" i="17"/>
  <c r="O55" i="17"/>
  <c r="R55" i="17" s="1"/>
  <c r="N55" i="17"/>
  <c r="O58" i="17"/>
  <c r="O57" i="17"/>
  <c r="R57" i="17" s="1"/>
  <c r="O56" i="17"/>
  <c r="R56" i="17" s="1"/>
  <c r="N58" i="17"/>
  <c r="N57" i="17"/>
  <c r="N56" i="17"/>
  <c r="C107" i="17"/>
  <c r="C159" i="17"/>
  <c r="C68" i="17"/>
  <c r="C50" i="17"/>
  <c r="C37" i="17"/>
  <c r="C36" i="17"/>
  <c r="C35" i="17"/>
  <c r="C17" i="17"/>
  <c r="C69" i="17"/>
  <c r="C161" i="17"/>
  <c r="C160" i="17"/>
  <c r="C29" i="17"/>
  <c r="C28" i="17"/>
  <c r="C27" i="17"/>
  <c r="C149" i="17"/>
  <c r="C9" i="17"/>
  <c r="C132" i="17"/>
  <c r="C131" i="17"/>
  <c r="C122" i="17"/>
  <c r="C121" i="17"/>
  <c r="C120" i="17"/>
  <c r="C119" i="17"/>
  <c r="C126" i="17"/>
  <c r="C125" i="17"/>
  <c r="C33" i="17"/>
  <c r="C32" i="17"/>
  <c r="C143" i="17"/>
  <c r="C148" i="17"/>
  <c r="C147" i="17"/>
  <c r="C101" i="17"/>
  <c r="C177" i="17"/>
  <c r="C176" i="17"/>
  <c r="C51" i="17"/>
  <c r="C38" i="17"/>
  <c r="C100" i="17"/>
  <c r="C99" i="17"/>
  <c r="C78" i="17"/>
  <c r="C71" i="17"/>
  <c r="C70" i="17"/>
  <c r="C165" i="17"/>
  <c r="C164" i="17"/>
  <c r="C163" i="17"/>
  <c r="C162" i="17"/>
  <c r="C30" i="17"/>
  <c r="C151" i="17"/>
  <c r="C150" i="17"/>
  <c r="C118" i="17"/>
  <c r="C117" i="17"/>
  <c r="C134" i="17"/>
  <c r="C133" i="17"/>
  <c r="C123" i="17"/>
  <c r="C130" i="17"/>
  <c r="C129" i="17"/>
  <c r="C128" i="17"/>
  <c r="C127" i="17"/>
  <c r="C180" i="17"/>
  <c r="C178" i="17"/>
  <c r="C34" i="17"/>
  <c r="C3" i="17"/>
  <c r="C183" i="17"/>
  <c r="C182" i="17"/>
  <c r="C181" i="17"/>
  <c r="C135" i="17"/>
  <c r="C145" i="17"/>
  <c r="C144" i="17"/>
  <c r="C142" i="17"/>
  <c r="C106" i="17"/>
  <c r="C105" i="17"/>
  <c r="C85" i="17"/>
  <c r="C84" i="17"/>
  <c r="C83" i="17"/>
  <c r="C82" i="17"/>
  <c r="C98" i="17"/>
  <c r="C93" i="17"/>
  <c r="C92" i="17"/>
  <c r="C45" i="17"/>
  <c r="C44" i="17"/>
  <c r="C81" i="17"/>
  <c r="C80" i="17"/>
  <c r="C79" i="17"/>
  <c r="C113" i="17"/>
  <c r="C112" i="17"/>
  <c r="C111" i="17"/>
  <c r="C110" i="17"/>
  <c r="C109" i="17"/>
  <c r="C108" i="17"/>
  <c r="C91" i="17"/>
  <c r="C90" i="17"/>
  <c r="C89" i="17"/>
  <c r="C88" i="17"/>
  <c r="C87" i="17"/>
  <c r="C86" i="17"/>
  <c r="C77" i="17"/>
  <c r="C76" i="17"/>
  <c r="C75" i="17"/>
  <c r="C74" i="17"/>
  <c r="C73" i="17"/>
  <c r="C72" i="17"/>
  <c r="C97" i="17"/>
  <c r="C96" i="17"/>
  <c r="C95" i="17"/>
  <c r="C94" i="17"/>
  <c r="C43" i="17"/>
  <c r="C41" i="17"/>
  <c r="C158" i="17"/>
  <c r="C157" i="17"/>
  <c r="C156" i="17"/>
  <c r="C155" i="17"/>
  <c r="C154" i="17"/>
  <c r="C153" i="17"/>
  <c r="C152" i="17"/>
  <c r="C19" i="17"/>
  <c r="C18" i="17"/>
  <c r="C67" i="17"/>
  <c r="C66" i="17"/>
  <c r="C65" i="17"/>
  <c r="C60" i="17"/>
  <c r="C59" i="17"/>
  <c r="C58" i="17"/>
  <c r="C57" i="17"/>
  <c r="C56" i="17"/>
  <c r="C55" i="17"/>
  <c r="C54" i="17"/>
  <c r="C53" i="17"/>
  <c r="C15" i="17"/>
  <c r="C14" i="17"/>
  <c r="C61" i="17"/>
  <c r="C141" i="17"/>
  <c r="C140" i="17"/>
  <c r="C139" i="17"/>
  <c r="C138" i="17"/>
  <c r="C137" i="17"/>
  <c r="C136" i="17"/>
  <c r="C13" i="17"/>
  <c r="C40" i="17"/>
  <c r="C39" i="17"/>
  <c r="C7" i="17"/>
  <c r="C6" i="17"/>
  <c r="O13" i="17"/>
  <c r="O12" i="17"/>
  <c r="R12" i="17" s="1"/>
  <c r="O10" i="17"/>
  <c r="R10" i="17" s="1"/>
  <c r="O148" i="17"/>
  <c r="R148" i="17" s="1"/>
  <c r="O147" i="17"/>
  <c r="N148" i="17"/>
  <c r="N147" i="17"/>
  <c r="O40" i="17"/>
  <c r="O39" i="17"/>
  <c r="R39" i="17" s="1"/>
  <c r="N39" i="17"/>
  <c r="N50" i="17"/>
  <c r="N51" i="17" s="1"/>
  <c r="O50" i="17"/>
  <c r="O51" i="17" s="1"/>
  <c r="O37" i="17"/>
  <c r="R37" i="17" s="1"/>
  <c r="O38" i="17"/>
  <c r="O35" i="17"/>
  <c r="R35" i="17" s="1"/>
  <c r="O123" i="17"/>
  <c r="O122" i="17"/>
  <c r="R122" i="17" s="1"/>
  <c r="O121" i="17"/>
  <c r="R121" i="17" s="1"/>
  <c r="O120" i="17"/>
  <c r="R120" i="17" s="1"/>
  <c r="O119" i="17"/>
  <c r="R119" i="17" s="1"/>
  <c r="O29" i="17"/>
  <c r="R29" i="17" s="1"/>
  <c r="O28" i="17"/>
  <c r="R28" i="17" s="1"/>
  <c r="O165" i="17"/>
  <c r="R165" i="17" s="1"/>
  <c r="O162" i="17"/>
  <c r="O163" i="17"/>
  <c r="R163" i="17" s="1"/>
  <c r="O164" i="17"/>
  <c r="R164" i="17" s="1"/>
  <c r="O161" i="17"/>
  <c r="R161" i="17" s="1"/>
  <c r="O160" i="17"/>
  <c r="R160" i="17" s="1"/>
  <c r="N37" i="17"/>
  <c r="N36" i="17"/>
  <c r="N38" i="17"/>
  <c r="N35" i="17"/>
  <c r="O100" i="17"/>
  <c r="N100" i="17"/>
  <c r="O99" i="17"/>
  <c r="R99" i="17" s="1"/>
  <c r="N99" i="17"/>
  <c r="N118" i="17"/>
  <c r="N117" i="17"/>
  <c r="O141" i="17"/>
  <c r="R141" i="17" s="1"/>
  <c r="N141" i="17"/>
  <c r="O64" i="17"/>
  <c r="R64" i="17" s="1"/>
  <c r="O63" i="17"/>
  <c r="O62" i="17"/>
  <c r="R62" i="17" s="1"/>
  <c r="O61" i="17"/>
  <c r="R61" i="17" s="1"/>
  <c r="N64" i="17"/>
  <c r="N125" i="17"/>
  <c r="N130" i="17"/>
  <c r="N63" i="17"/>
  <c r="N62" i="17"/>
  <c r="N61" i="17"/>
  <c r="O140" i="17"/>
  <c r="R140" i="17" s="1"/>
  <c r="O139" i="17"/>
  <c r="R139" i="17" s="1"/>
  <c r="O138" i="17"/>
  <c r="O137" i="17"/>
  <c r="R137" i="17" s="1"/>
  <c r="O136" i="17"/>
  <c r="R136" i="17" s="1"/>
  <c r="N140" i="17"/>
  <c r="N139" i="17"/>
  <c r="N138" i="17"/>
  <c r="N137" i="17"/>
  <c r="N136" i="17"/>
  <c r="O54" i="17"/>
  <c r="R54" i="17" s="1"/>
  <c r="O53" i="17"/>
  <c r="N54" i="17"/>
  <c r="N53" i="17"/>
  <c r="R183" i="17"/>
  <c r="R182" i="17"/>
  <c r="O83" i="17"/>
  <c r="O84" i="17"/>
  <c r="R84" i="17" s="1"/>
  <c r="O85" i="17"/>
  <c r="R85" i="17" s="1"/>
  <c r="N29" i="17"/>
  <c r="N28" i="17"/>
  <c r="O151" i="17"/>
  <c r="R151" i="17" s="1"/>
  <c r="O149" i="17"/>
  <c r="R149" i="17" s="1"/>
  <c r="O150" i="17"/>
  <c r="O9" i="17"/>
  <c r="O8" i="17"/>
  <c r="R8" i="17" s="1"/>
  <c r="N131" i="17"/>
  <c r="N134" i="17"/>
  <c r="N133" i="17"/>
  <c r="N132" i="17"/>
  <c r="N123" i="17"/>
  <c r="N122" i="17"/>
  <c r="N121" i="17"/>
  <c r="N119" i="17"/>
  <c r="N120" i="17"/>
  <c r="N128" i="17"/>
  <c r="N129" i="17"/>
  <c r="O16" i="17"/>
  <c r="O15" i="17"/>
  <c r="R15" i="17" s="1"/>
  <c r="O14" i="17"/>
  <c r="R14" i="17" s="1"/>
  <c r="N16" i="17"/>
  <c r="N15" i="17"/>
  <c r="N14" i="17"/>
  <c r="N180" i="17"/>
  <c r="N178" i="17"/>
  <c r="N179" i="17"/>
  <c r="O179" i="17"/>
  <c r="R179" i="17" s="1"/>
  <c r="O178" i="17"/>
  <c r="O180" i="17"/>
  <c r="R180" i="17" s="1"/>
  <c r="N10" i="17"/>
  <c r="N12" i="17"/>
  <c r="N13" i="17"/>
  <c r="N11" i="17"/>
  <c r="N4" i="17"/>
  <c r="N3" i="17"/>
  <c r="P33" i="17"/>
  <c r="O145" i="17"/>
  <c r="R145" i="17" s="1"/>
  <c r="O144" i="17"/>
  <c r="O143" i="17"/>
  <c r="R143" i="17" s="1"/>
  <c r="N81" i="17"/>
  <c r="N80" i="17"/>
  <c r="N79" i="17"/>
  <c r="N91" i="17"/>
  <c r="N90" i="17"/>
  <c r="N89" i="17"/>
  <c r="N88" i="17"/>
  <c r="N87" i="17"/>
  <c r="N18" i="17"/>
  <c r="N74" i="17"/>
  <c r="N75" i="17"/>
  <c r="N76" i="17"/>
  <c r="N77" i="17"/>
  <c r="N73" i="17"/>
  <c r="N72" i="17"/>
  <c r="O77" i="17"/>
  <c r="R77" i="17" s="1"/>
  <c r="O75" i="17"/>
  <c r="O76" i="17"/>
  <c r="R76" i="17" s="1"/>
  <c r="O74" i="17"/>
  <c r="R74" i="17" s="1"/>
  <c r="O73" i="17"/>
  <c r="R73" i="17" s="1"/>
  <c r="O72" i="17"/>
  <c r="R72" i="17" s="1"/>
  <c r="O158" i="17"/>
  <c r="R158" i="17" s="1"/>
  <c r="O157" i="17"/>
  <c r="R157" i="17" s="1"/>
  <c r="O156" i="17"/>
  <c r="O155" i="17"/>
  <c r="R155" i="17" s="1"/>
  <c r="N158" i="17"/>
  <c r="N157" i="17"/>
  <c r="N156" i="17"/>
  <c r="N155" i="17"/>
  <c r="O106" i="17"/>
  <c r="R106" i="17" s="1"/>
  <c r="O105" i="17"/>
  <c r="N106" i="17"/>
  <c r="N105" i="17"/>
  <c r="N94" i="17"/>
  <c r="N97" i="17"/>
  <c r="N96" i="17"/>
  <c r="N95" i="17"/>
  <c r="Q9" i="17" l="1"/>
  <c r="R9" i="17" s="1"/>
  <c r="R6" i="17"/>
  <c r="R116" i="17"/>
  <c r="R191" i="17"/>
  <c r="R192" i="17"/>
  <c r="R186" i="17"/>
  <c r="R144" i="17"/>
  <c r="R111" i="17"/>
  <c r="Q80" i="17"/>
  <c r="R80" i="17" s="1"/>
  <c r="R51" i="17"/>
  <c r="R199" i="17"/>
  <c r="R138" i="17"/>
  <c r="R16" i="17"/>
  <c r="R123" i="17"/>
  <c r="R34" i="17"/>
  <c r="R150" i="17"/>
  <c r="R105" i="17"/>
  <c r="R156" i="17"/>
  <c r="R50" i="17"/>
  <c r="R83" i="17"/>
  <c r="R132" i="17"/>
  <c r="R49" i="17"/>
  <c r="R162" i="17"/>
  <c r="R194" i="17"/>
  <c r="R13" i="17"/>
  <c r="R40" i="17"/>
  <c r="R181" i="17"/>
  <c r="R178" i="17"/>
  <c r="R38" i="17"/>
  <c r="Q93" i="17"/>
  <c r="R93" i="17" s="1"/>
  <c r="R53" i="17"/>
  <c r="P80" i="17"/>
  <c r="R100" i="17"/>
  <c r="R63" i="17"/>
  <c r="R58" i="17"/>
  <c r="R75" i="17"/>
  <c r="R30" i="17"/>
  <c r="R43" i="17"/>
  <c r="R127" i="17"/>
  <c r="Q103" i="17"/>
  <c r="R103" i="17" s="1"/>
  <c r="Q171" i="17"/>
  <c r="R171" i="17" s="1"/>
  <c r="R90" i="17"/>
  <c r="R117" i="17"/>
  <c r="Q82" i="17"/>
  <c r="R82" i="17" s="1"/>
  <c r="Q95" i="17"/>
  <c r="R95" i="17" s="1"/>
  <c r="R67" i="17"/>
  <c r="R147" i="17"/>
  <c r="Q78" i="17"/>
  <c r="R78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tc={0A7644DA-EBA4-499A-B89E-4D024E5D4FBA}</author>
  </authors>
  <commentList>
    <comment ref="I222" authorId="0" shapeId="0" xr:uid="{0A7644DA-EBA4-499A-B89E-4D024E5D4FB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cb tali kasih hanya 3 kali, mei, juli, dan oktober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tc={14A5C771-7A07-4EB1-940B-9DCDAD2111E4}</author>
    <author>tc={04D201B2-D12E-4B4D-A6DF-0310BE386401}</author>
    <author>tc={4A435CC4-AA26-B54F-9549-599890D9287F}</author>
    <author>tc={8124B977-D470-4BD2-B479-21F8807E5236}</author>
    <author>tc={098BA4F0-6A74-4182-8A1D-B67F1CF144FE}</author>
    <author>tc={9E6F94E6-AC48-47A5-A520-00AB67B1BE2A}</author>
  </authors>
  <commentList>
    <comment ref="P55" authorId="0" shapeId="0" xr:uid="{14A5C771-7A07-4EB1-940B-9DCDAD2111E4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actual hanya tahun pertama </t>
        </r>
      </text>
    </comment>
    <comment ref="P82" authorId="1" shapeId="0" xr:uid="{04D201B2-D12E-4B4D-A6DF-0310BE38640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diluar angka pekerja (CHYNTIA) dan Ryan Rizky (ISPD)</t>
        </r>
      </text>
    </comment>
    <comment ref="O111" authorId="2" shapeId="0" xr:uid="{4A435CC4-AA26-B54F-9549-599890D9287F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tambahan RAM 560.00.0000</t>
        </r>
      </text>
    </comment>
    <comment ref="P111" authorId="3" shapeId="0" xr:uid="{8124B977-D470-4BD2-B479-21F8807E523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RAM AKTUAL (495000000+57000000)</t>
        </r>
      </text>
    </comment>
    <comment ref="P153" authorId="4" shapeId="0" xr:uid="{098BA4F0-6A74-4182-8A1D-B67F1CF144F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ISPD+CHYNTIA</t>
        </r>
      </text>
    </comment>
    <comment ref="P182" authorId="5" shapeId="0" xr:uid="{9E6F94E6-AC48-47A5-A520-00AB67B1BE2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JIHAD belum serah terima ISPD ke OSM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<sst xmlns="http://schemas.openxmlformats.org/spreadsheetml/2006/main" count="10284" uniqueCount="1326">
  <si>
    <t>NO</t>
  </si>
  <si>
    <t>NAMA PELANGGAN</t>
  </si>
  <si>
    <t>SEGMENTASI</t>
  </si>
  <si>
    <t>NAMA PROJECT</t>
  </si>
  <si>
    <t>KODE PROJECT</t>
  </si>
  <si>
    <t>KETERANGAN</t>
  </si>
  <si>
    <t>PT GAGAS ENERGI INDONESIA</t>
  </si>
  <si>
    <t>BUSINESS SOLUTION</t>
  </si>
  <si>
    <t>PENGADAAN CCTV SPBG LAMPUNG</t>
  </si>
  <si>
    <t>BS-001</t>
  </si>
  <si>
    <t>PT WIDAR MANDRIPA NUSANTARA</t>
  </si>
  <si>
    <t>ABSEN ONLINE</t>
  </si>
  <si>
    <t>BS-002</t>
  </si>
  <si>
    <t>PT PERTAMINA (PERSERO)</t>
  </si>
  <si>
    <t>PENYEDIAAN JASA LAYANAN KLASIFIKASI KEAMANAN INFORMASI</t>
  </si>
  <si>
    <t>BS-003</t>
  </si>
  <si>
    <t>PT PERUSAHAAN GAS NEGARA</t>
  </si>
  <si>
    <t>PEKERJAAN PENGADAAN DAN PEMASANGAN PRESSURE MONITORING DEVICE PLN TARAHAN LAMPUNG</t>
  </si>
  <si>
    <t>BS-004</t>
  </si>
  <si>
    <t>IOGM</t>
  </si>
  <si>
    <t>SAKA INDONESIA PANGKAH LTD</t>
  </si>
  <si>
    <t>SMART PRESENCE SUBSCRIPTON</t>
  </si>
  <si>
    <t>BS-005</t>
  </si>
  <si>
    <t>PENGADAAN CCTV SPBG PONDOK UNGU</t>
  </si>
  <si>
    <t>BS-006</t>
  </si>
  <si>
    <t>PT ALGAS</t>
  </si>
  <si>
    <t>PROJECT INSTAL EVC VEMMTEC V5 SYSTEM BILLING AVE PGNCOM</t>
  </si>
  <si>
    <t>BS-007</t>
  </si>
  <si>
    <t>PERPANJANGAN SUPPORT MAIL SECURITY GATEAWAY PERTAMINA PERSERO</t>
  </si>
  <si>
    <t>BS-008</t>
  </si>
  <si>
    <t>LAPTOP OWNERSHIP PROGRAM 2019-2020</t>
  </si>
  <si>
    <t>BS-009</t>
  </si>
  <si>
    <t>ICT</t>
  </si>
  <si>
    <t>PT TELEMEDIA DINAMIKA SARANA</t>
  </si>
  <si>
    <t>LAPTOP OWNERSHIP GASNET</t>
  </si>
  <si>
    <t>BS-010</t>
  </si>
  <si>
    <t>SISTEM RESTRUKTURISASI DAN PENGENDALIAN PEMAKAIAN GAS REVAS-2023</t>
  </si>
  <si>
    <t>BS-011</t>
  </si>
  <si>
    <t>REVAS</t>
  </si>
  <si>
    <t>PENGADAAN JASA PEMELIHARAAN PREPAID MANAGEMENT SYSTEM DAN LAYANAN PENDUKUNG REVENUE ASSURANCE</t>
  </si>
  <si>
    <t>BS-012</t>
  </si>
  <si>
    <t>DASHBOARD MOBILE APPS (DASHBOARD PSAIMS)</t>
  </si>
  <si>
    <t>BS-013</t>
  </si>
  <si>
    <t>HSSE</t>
  </si>
  <si>
    <t>MOBILE APPS DEVELOPMENT (HSSE PASSPORT)</t>
  </si>
  <si>
    <t>BS-014</t>
  </si>
  <si>
    <t>RELOKASI PMD PAYA PASIR KE DELI SERDANG</t>
  </si>
  <si>
    <t>BS-015</t>
  </si>
  <si>
    <t>PT KILANG PERTAMINA INTERNASIONAL</t>
  </si>
  <si>
    <t>JASA PENDAMPINGAN SERTIFIKASI ISO 27001:2022</t>
  </si>
  <si>
    <t>BS-016</t>
  </si>
  <si>
    <t>KELTON</t>
  </si>
  <si>
    <t>BS-017</t>
  </si>
  <si>
    <t>PMD</t>
  </si>
  <si>
    <t>BS-018</t>
  </si>
  <si>
    <t>PT NUSANTARA REGAS</t>
  </si>
  <si>
    <t>Jasa Event IT Security Jan 2024 - Des 2025</t>
  </si>
  <si>
    <t>BS-019</t>
  </si>
  <si>
    <t>PERUSAHAAN GAS NEGARA - IOGM</t>
  </si>
  <si>
    <t>Pekerjaan Pengadaan dan Pemasangan Pressure Monitoring Device Batang Tahun 2025</t>
  </si>
  <si>
    <t>BS-020</t>
  </si>
  <si>
    <t>Penyediaan Lisensi OriginPro Pertamina Tahun 2025</t>
  </si>
  <si>
    <t>BS-021</t>
  </si>
  <si>
    <t>Pengembangan Aplikasi SHARE Modul SIM TJSL</t>
  </si>
  <si>
    <t>BS-022</t>
  </si>
  <si>
    <t>CSR</t>
  </si>
  <si>
    <t>PT PERTAMINA PATRA NIAGA</t>
  </si>
  <si>
    <t>Pekerjaan Maintenance CCTV &amp; Infrastruktur PPN MOR1 FT Labuhan Deli</t>
  </si>
  <si>
    <t>BS-023</t>
  </si>
  <si>
    <t>PT TRANSPORTASI GAS INDONESIA</t>
  </si>
  <si>
    <t>Pengadaan Firewall Amandemen Perjanjian Pengadaan Link Metro Ethemet Dan Colocation Data Center Utama PT Transportasi Gas Indonesia</t>
  </si>
  <si>
    <t>BS-024</t>
  </si>
  <si>
    <t>PT SUPREME ENERGY RANTAU DEDAP</t>
  </si>
  <si>
    <t xml:space="preserve"> Pekerjaan System ATS ECM Suite 25 di PT Supreme Energy Rantau Dedap (SERD)</t>
  </si>
  <si>
    <t>BS-025</t>
  </si>
  <si>
    <t>PT SUPREME ENERGY MUARA LABOH</t>
  </si>
  <si>
    <t xml:space="preserve"> Pekerjaan System ATS ECM Suite 25 di PT Supreme Energy Muara Laboh (SEML)</t>
  </si>
  <si>
    <t>BS-026</t>
  </si>
  <si>
    <t>Pekerjaan BER Test DC Kemendagri</t>
  </si>
  <si>
    <t>BS-027</t>
  </si>
  <si>
    <t>Sewa BERT Test Kemendagri</t>
  </si>
  <si>
    <t>BS-028</t>
  </si>
  <si>
    <t>Pengadaan Jasa Pendampingan Surveillance Sertifikasi ISO/IEC 27001:2022 DI PT KPI</t>
  </si>
  <si>
    <t>BS-029</t>
  </si>
  <si>
    <t xml:space="preserve">Pengadaan Jasa Implementasi Data Governance Di PT Kilang Pertamina Internasional </t>
  </si>
  <si>
    <t>BS-030</t>
  </si>
  <si>
    <t>MANAGED SERVICE</t>
  </si>
  <si>
    <t>JASA PEMELIHARAAN DAN PENGEMBANGAN PREPAID MANAGEMENT SYSTEM - 2023</t>
  </si>
  <si>
    <t>MS-001</t>
  </si>
  <si>
    <t>AMD JASA PEMELIHARAAN DAN PENGEMBANGAN PREPAID MANAGEMENT SYSTEM 2023</t>
  </si>
  <si>
    <t>MS-002</t>
  </si>
  <si>
    <t>PEKERJAAN JASA OPERASI DAN PEMELIHARAAN GAS MANAGEMEN SISTEM</t>
  </si>
  <si>
    <t>MS-003</t>
  </si>
  <si>
    <t>PENYEDIAAN LAYANAN SISTEM RADIO KOMUNIKASI</t>
  </si>
  <si>
    <t>MS-004</t>
  </si>
  <si>
    <t>PT PGAS SOLUTION</t>
  </si>
  <si>
    <t>COLOCATION BACKUP DATA CENTER</t>
  </si>
  <si>
    <t>MS-005</t>
  </si>
  <si>
    <t>SEWA LAPTOP PGASOL 3 (WO 2)</t>
  </si>
  <si>
    <t>MS-006</t>
  </si>
  <si>
    <t>SEWA LAPTOP PGASOL 4 (WO 3)</t>
  </si>
  <si>
    <t>MS-007</t>
  </si>
  <si>
    <t>SEWA LAPTOP PGASOL 5 (WO 4)</t>
  </si>
  <si>
    <t>MS-008</t>
  </si>
  <si>
    <t>PENYEDIAAN LAYANAN CLOUD VIRTUAL PRIVATE SERVER (KONTRAK PAYUNG)</t>
  </si>
  <si>
    <t>MS-009</t>
  </si>
  <si>
    <t>PENYEDIAAN LAYANAN CLOUD VIRTUAL PRIVATE SERVER (TAGIHAN TRIWULAN TECH SUPPORT)</t>
  </si>
  <si>
    <t>MS-010</t>
  </si>
  <si>
    <t>CLOUD VPS - WO (LAYANAN BAAS &amp; UPGRADE RESOURCES)</t>
  </si>
  <si>
    <t>MS-011</t>
  </si>
  <si>
    <t>SCM</t>
  </si>
  <si>
    <t>JASA OPERASIONAL CONTACT CENTER</t>
  </si>
  <si>
    <t>MS-012</t>
  </si>
  <si>
    <t>PT KALIMANTAN JAWA GAS</t>
  </si>
  <si>
    <t>PENYEDIAAN, PENGELOLAAN, DAN PEMELIHARAAN PERANGKAT SI (IPPBX, SERVER DATA, SERTA WEBSITE &amp; DOMAIN, ROUTER DAN LINK DEDICATED PGN ONE</t>
  </si>
  <si>
    <t>MS-013</t>
  </si>
  <si>
    <t>KPU</t>
  </si>
  <si>
    <t>CLOUD HOSTING</t>
  </si>
  <si>
    <t>MS-014</t>
  </si>
  <si>
    <t>JASA SEWA PERANGKAT DAN SISTEM AMR UNTUK PELANGGAN CNG</t>
  </si>
  <si>
    <t>MS-015</t>
  </si>
  <si>
    <t>MS-016</t>
  </si>
  <si>
    <t>PT PGN LNG INDONESIA</t>
  </si>
  <si>
    <t>MANAGED SERVICE SD-WAN</t>
  </si>
  <si>
    <t>MS-017</t>
  </si>
  <si>
    <t>SEWA SERVER HOSTING</t>
  </si>
  <si>
    <t>MS-018</t>
  </si>
  <si>
    <t>Jasa Pemeliharaan Sistem Kontrol dan Telekomunikasi Offtake Station (OTS) &amp; Onshore Receiving Facilities (ORF)</t>
  </si>
  <si>
    <t>MS-019</t>
  </si>
  <si>
    <t>LAYANAN RADIO KOMUNIKASI-TRUNKING 24 BULAN</t>
  </si>
  <si>
    <t>MS-020</t>
  </si>
  <si>
    <t>PENGADAAN RENEWAL LISENSI PERANGKAT FIREWALL</t>
  </si>
  <si>
    <t>MS-021</t>
  </si>
  <si>
    <t>PT PERTAMINA GAS</t>
  </si>
  <si>
    <t>SEWA LAYANAN INFRASTRUKTUR TEKNOLOGI DAN INFORMASI KEBUTUHAN PT PERTAMINA GAS SELAMA 48 BULAN</t>
  </si>
  <si>
    <t>MS-022</t>
  </si>
  <si>
    <t>SEWA PESAWAT RADIO TRUNKING NASIONAL DI LINGKUNGAN PT PERTAMINA GAS</t>
  </si>
  <si>
    <t>MS-023</t>
  </si>
  <si>
    <t>MANAGED SERVICE LAYANAN SEWA PERANGKAT HT GSM</t>
  </si>
  <si>
    <t>MS-024</t>
  </si>
  <si>
    <t>LAYANAN SEWA PERANGKAT SERVER DAN NETWORK TEKNOLOGI INFORMASI &amp; LAYANAN SEWA PERANGKAT INFRASTRUKTUR TEKNOLOGI INFORMASI SPO NUSANTARA</t>
  </si>
  <si>
    <t>MS-025</t>
  </si>
  <si>
    <t>MANAGED SERVICE PRINTER SCANNER, MULTIMEDIA, UPS SYSTEM DAN PENDUKUNGNYA DI PT PERTAMINA GAS</t>
  </si>
  <si>
    <t>MS-026</t>
  </si>
  <si>
    <t>LNTEGRASI DATA TRANSPORTASI MINYAK DAN GAS BUMI DAN PEMELIHARAAN SISTEM MEASUREMENT DATA COLLECTION &amp; SISTEM DASHBOARD DIREKTORAT TEKNIK &amp; OPERASI</t>
  </si>
  <si>
    <t>MS-027</t>
  </si>
  <si>
    <t>MANAGED SERVICE LAYANAN PERANGKAT COMMAND &amp; CRISIS CENTER</t>
  </si>
  <si>
    <t>MS-028</t>
  </si>
  <si>
    <t>MANAGED SERVICE SEWA LAYANAN IP PHONE SYSTEM</t>
  </si>
  <si>
    <t>MS-029</t>
  </si>
  <si>
    <t>PT PERTAMINA ENERGY TERMINAL</t>
  </si>
  <si>
    <t>SEWA PERANGKAT RADIO KOMUNIKASI DI TLPG TANJUNG SEKONG, IT TANJUNG UBAN, FT PULAU SAMBU, FT KOTABARU DAN FT BAUBAU</t>
  </si>
  <si>
    <t>MS-030</t>
  </si>
  <si>
    <t>PENGELOLAAN &amp; PENGEMBANGAN SERVICEDESK SHARED SERVICES PERTAMINA</t>
  </si>
  <si>
    <t>MS-031</t>
  </si>
  <si>
    <t>PERTAMINA HULU ENERGI DRILLING</t>
  </si>
  <si>
    <t>ALIH TEKNOLOGI INTEGRASI SISTEM PELAPORAN, DATABASE DAN ANALISA PERENCANAAN OPERASI DWI</t>
  </si>
  <si>
    <t>MS-032</t>
  </si>
  <si>
    <t>PT PERTAMINA DRILING SERVICE INDONESIA</t>
  </si>
  <si>
    <t>PENGADAAN PART AMPHION SYSTEM RIG 30.2</t>
  </si>
  <si>
    <t>MS-033</t>
  </si>
  <si>
    <t>PENYEDIAAN LAYANAN KONEKSI WAN DI 44 LOKASI</t>
  </si>
  <si>
    <t>MS-034</t>
  </si>
  <si>
    <t>SEWA DAN MAINTENANCE PERANGKAT NON ERP DI DR SIDE V2</t>
  </si>
  <si>
    <t>MS-035</t>
  </si>
  <si>
    <t>PERPANJANGAN JASA LAYANAN DATA CENTER</t>
  </si>
  <si>
    <t>MS-036</t>
  </si>
  <si>
    <t>PENGADAAN CCTV MRU GROGOL</t>
  </si>
  <si>
    <t>MS-037</t>
  </si>
  <si>
    <t>JASA PEMELIHARAAN DAN MONITORING SISTEM MANAGEMENT INFORMASI LEGAL</t>
  </si>
  <si>
    <t>MS-038</t>
  </si>
  <si>
    <t>LEGAL</t>
  </si>
  <si>
    <t>MANAGE SERVICE SEWA INFRASTRUKTUR DATA CENTER</t>
  </si>
  <si>
    <t>MS-039</t>
  </si>
  <si>
    <t>PENYEDIAAN JASA LAYANAN OFFLINE BACKUP -PHASE 1</t>
  </si>
  <si>
    <t>MS-040</t>
  </si>
  <si>
    <t>PT PELITA AIR SERVICE</t>
  </si>
  <si>
    <t>PENGADAAN SOC, PAM &amp; LAYANAN MANAGED SERVICE SECURITY</t>
  </si>
  <si>
    <t>MS-041</t>
  </si>
  <si>
    <t>PENGADAAN JASA MANAGED SERVICE SECURITY ASSESSMENT (MSSA)</t>
  </si>
  <si>
    <t>MS-042</t>
  </si>
  <si>
    <t>SEWA PERANGKAT STORAGE DAN NTP SERVER PT PERTAMINA (PERSERO)</t>
  </si>
  <si>
    <t>MS-043</t>
  </si>
  <si>
    <t>PENYEDIAAN LAYANAN PLATFORM PILOT APLIKASI MODERN</t>
  </si>
  <si>
    <t>MS-044</t>
  </si>
  <si>
    <t>PENGADAAN SEWA PERANGKAT INFRASTRUKTUR TEKNOLOGI INFORMASI</t>
  </si>
  <si>
    <t>MS-045</t>
  </si>
  <si>
    <t>MS IT MAINTENANCE</t>
  </si>
  <si>
    <t>MS-046</t>
  </si>
  <si>
    <t>MS APPLICATION AND INTEGRATION SOLUTION 2024 / MS APPLICATION AND INTEGRATION SOLUTION 2025</t>
  </si>
  <si>
    <t>MS-047</t>
  </si>
  <si>
    <t>MS OT SECURITY 2024 / MS OT SECURITY 2025</t>
  </si>
  <si>
    <t>MS-048</t>
  </si>
  <si>
    <t>MS IT-OT SOC ENHANCEMENT 2024 / MS CYBER SECURITY 2025</t>
  </si>
  <si>
    <t>MS-049</t>
  </si>
  <si>
    <t>PERAPIHAN STANDARISASI INFRASTRUKTUR IT &amp; PERGANTIAN UPS 2024</t>
  </si>
  <si>
    <t>MS-050</t>
  </si>
  <si>
    <t>MS CYBER SECURITY AWARENESS 2025</t>
  </si>
  <si>
    <t>MS-051</t>
  </si>
  <si>
    <t>PEKERJAAN PENGADAAN LISENSI PIRANTI LUNAK PERIODE IV (COMPILATION)</t>
  </si>
  <si>
    <t>MS-052</t>
  </si>
  <si>
    <t>PEKERJAAN MANAGED SERVICE BACKUP MANAGEMENT</t>
  </si>
  <si>
    <t>MS-053</t>
  </si>
  <si>
    <t>TRANSPORTASI GAS INDONESIA</t>
  </si>
  <si>
    <t>AMANDEMEN PEKERJAAN JASA KOMUNIKASI LINK V-SAT SCPC, FIBER OPTIC METROE DAN INTERNET 2023-2026</t>
  </si>
  <si>
    <t>MS-054</t>
  </si>
  <si>
    <t>AMANDEMEN II PEKERJAAN JASA KOMUNIKASI LINK V-SAT SCPC, FIBER OPTIC METROE DAN INTERNET 2023-2026</t>
  </si>
  <si>
    <t>MS-055</t>
  </si>
  <si>
    <t>AMANDEMEN PENGADAAN LINK METRO ETHERNET &amp; COLOCATION DATA CENTER UTAMA</t>
  </si>
  <si>
    <t>MS-056</t>
  </si>
  <si>
    <t>PT PERTAMINA HULU ENERGI</t>
  </si>
  <si>
    <t>PHE RADIO KOMUNIKASI</t>
  </si>
  <si>
    <t>MS-057</t>
  </si>
  <si>
    <t>JASA PEMELIHARAAN DAN UPGRADE APLIKASI HOLISTIC</t>
  </si>
  <si>
    <t>MS-058</t>
  </si>
  <si>
    <t>HSE</t>
  </si>
  <si>
    <t>JADESTONE</t>
  </si>
  <si>
    <t>LAYANAN PROVISION OF COMMUNICATION LINK FROM AGPF TO TGI (8 JANUARI-7 JANUARI 2027)</t>
  </si>
  <si>
    <t>MS-059</t>
  </si>
  <si>
    <t>AMANDEMEN LAYANAN PROVISION OF COMMUNICATION LINK FROM AGPF TO TGI (8 JANUARI-7 JANUARI 2027) LINK SAKERNAN</t>
  </si>
  <si>
    <t>MS-060</t>
  </si>
  <si>
    <t>INTEGRATED MONITORING CENTER (IMOC)</t>
  </si>
  <si>
    <t>MS-061</t>
  </si>
  <si>
    <t>Pekerjaan Jasa Pengadaan Event IT Security PT Nusantara Rega</t>
  </si>
  <si>
    <t>MS-062</t>
  </si>
  <si>
    <t>PT PERTAMINA INTERNATIONAL SHIPPING</t>
  </si>
  <si>
    <t>PENYEDIAAN PERANGKAT MULTIMEDIA BALLROOM DAN MINI GALERY</t>
  </si>
  <si>
    <t>MS-063</t>
  </si>
  <si>
    <t>Interfacing Data Scada ke Aplikasi GMS</t>
  </si>
  <si>
    <t>MS-064</t>
  </si>
  <si>
    <t>PT PERTAMINA DRILLING SERVICES INDONESIA</t>
  </si>
  <si>
    <t>PENGADAAN MONITOR HMI</t>
  </si>
  <si>
    <t>MS-065</t>
  </si>
  <si>
    <t>Sewa Layanan Cloud (dan VAPT)</t>
  </si>
  <si>
    <t>MS-066</t>
  </si>
  <si>
    <t>PEKERJAAN VAPT &amp; TECHNICAL SERVICE CYBER SECURITY</t>
  </si>
  <si>
    <t>MS-067</t>
  </si>
  <si>
    <t>Jasa Pengadaan Pengelolaan lntegrasi Data dan Pemeliharaan Sistem Data Acquisition Transportasi Minyak &amp; Gas Bumi Tahun 2025</t>
  </si>
  <si>
    <t>MS-068</t>
  </si>
  <si>
    <t>MS-069</t>
  </si>
  <si>
    <t>PT PERTAMINA GEOTHERMAL ENERGY</t>
  </si>
  <si>
    <t>Layanan Cyber Security Operation Center (CSOC)</t>
  </si>
  <si>
    <t>MS-070</t>
  </si>
  <si>
    <t>Pekerjaan Jasa Sewa Penyediaan Collocation Master Data Center dan Backup data Center</t>
  </si>
  <si>
    <t>MS-071</t>
  </si>
  <si>
    <t>Managed Service Access Point dan Switch</t>
  </si>
  <si>
    <t>MS-072</t>
  </si>
  <si>
    <t>Penyediaan Layanan Security Operation Center Information Technology (SOC IT)</t>
  </si>
  <si>
    <t>MS-073</t>
  </si>
  <si>
    <t>Pengadaan Jasa penyediaan Perangkat Sistem Informasi</t>
  </si>
  <si>
    <t>MS-074</t>
  </si>
  <si>
    <t>Pekerjaan Penyediaan Layanan Sewa Server YKPP PGN</t>
  </si>
  <si>
    <t>MS-075</t>
  </si>
  <si>
    <t>YKPP</t>
  </si>
  <si>
    <t>Pekerjaan Pengadaan Jasa Implementasi SIEM dan SOC</t>
  </si>
  <si>
    <t>MS-076</t>
  </si>
  <si>
    <t>Enhancement Aplikasi System Integrasi Datamart &amp; Tools Monitoring Dashboard Management Kinerja Niaga</t>
  </si>
  <si>
    <t>MS-077</t>
  </si>
  <si>
    <t>MSCM</t>
  </si>
  <si>
    <t>MS-078</t>
  </si>
  <si>
    <t>MS-079</t>
  </si>
  <si>
    <t>PT PERMATA GRAHA NUSANTARA</t>
  </si>
  <si>
    <t>Pengadaan Vulnerability Assesment dan Penetration Testing</t>
  </si>
  <si>
    <t>MS-080</t>
  </si>
  <si>
    <t>Pekerjaan Sewa Router Untuk Layanan Dual Link SPBU</t>
  </si>
  <si>
    <t>MS-081</t>
  </si>
  <si>
    <t>Pengelolaan Integrasi Data dan Pemeliharaan Sistem Data Acquisition Transportasi Minyak &amp; Gas Bumi</t>
  </si>
  <si>
    <t>MS-082</t>
  </si>
  <si>
    <t>MS-083</t>
  </si>
  <si>
    <t>PT PERKEBUNAN NUSANTARA</t>
  </si>
  <si>
    <t>Penyediaan layanan Managed Service Security Operation Center (SOC)</t>
  </si>
  <si>
    <t>MS-084</t>
  </si>
  <si>
    <t>Pengadaan Implementasi Security Operation Center (SOC) di Kantor Pusat Wisma Tugu II</t>
  </si>
  <si>
    <t>MS-085</t>
  </si>
  <si>
    <t>Pengadaan Sewa Perangkat Storage san NTP Server Pertamina</t>
  </si>
  <si>
    <t>MS-086</t>
  </si>
  <si>
    <t>Tindak Lanjut Pekerjaan Jasa Managed Service Security Assessment (MSSA)</t>
  </si>
  <si>
    <t>MS-087</t>
  </si>
  <si>
    <t>VAPT dan Technical Service Cyber Security</t>
  </si>
  <si>
    <t>MS-088</t>
  </si>
  <si>
    <t>Managed Service Cyber Security (MSCS) Tahun 2026</t>
  </si>
  <si>
    <t>MS-089</t>
  </si>
  <si>
    <t>Pekerjaan Managed Service Cyber Security Awareness Tahun 2026</t>
  </si>
  <si>
    <t>MS-090</t>
  </si>
  <si>
    <t>Managed Service OT Security (MSOT) Tahun 2026 - 2028</t>
  </si>
  <si>
    <t>MS-091</t>
  </si>
  <si>
    <t>Kontrak Jasa Penyediaan Perangkat Multimedia Ballroom &amp; Mini Gallery</t>
  </si>
  <si>
    <t>MS-092</t>
  </si>
  <si>
    <t>PENYEDIAAN APLIKASI PERFORMANCE AND COMPETENCY MANAGEMENT</t>
  </si>
  <si>
    <t>MS-093</t>
  </si>
  <si>
    <t>Customer Relationship Management Billing Retail</t>
  </si>
  <si>
    <t>MS-094</t>
  </si>
  <si>
    <t>Pengembangan dan Peningkatan Kapabilitas Aplikasi Energy (Enterprise Revenue Generation System)</t>
  </si>
  <si>
    <t>MS-095</t>
  </si>
  <si>
    <t>Geospatial Update Licensing Information System (GEULIS)</t>
  </si>
  <si>
    <t>MS-096</t>
  </si>
  <si>
    <t>Jasa Pembuatan Sistem Data Kinerja (SIDAK) di Lingkungan Sales and Operation Region III</t>
  </si>
  <si>
    <t>MS-097</t>
  </si>
  <si>
    <t>Penyediaan Lisensi Piranti Lunak Dan Annual Technical Support</t>
  </si>
  <si>
    <t>MS-098</t>
  </si>
  <si>
    <t>Pekerjaan Jasa Developing Dashboard PSAIMS dan HSSE Frontliner System</t>
  </si>
  <si>
    <t>MS-099</t>
  </si>
  <si>
    <t>Jasa Teknikal Asistensi Sistem Manajemen Informasi Legal (SMILE)</t>
  </si>
  <si>
    <t>MS-100</t>
  </si>
  <si>
    <t>Jasa Pemeliharaan Sistem Kontrol dan Telekomunikasi Offtake Station (OTS) &amp; Onshore Receiving Facilities (ORF) 2026-2027</t>
  </si>
  <si>
    <t>MS-101</t>
  </si>
  <si>
    <t>Managed Service Aplication Integration Solutions (MSAIS) Tahun 2026</t>
  </si>
  <si>
    <t>MS-102</t>
  </si>
  <si>
    <t>Managed Service Teknologi Informasi (MSTI) tahun 2026</t>
  </si>
  <si>
    <t>MS-103</t>
  </si>
  <si>
    <t>Pengadaan CCTV PT PGN LNG</t>
  </si>
  <si>
    <t>MS-104</t>
  </si>
  <si>
    <t>Pengadaan Jasa Penyediaan Endpoint Security 2026-2027</t>
  </si>
  <si>
    <t>MS-105</t>
  </si>
  <si>
    <t>PT NIPPON SHOKUBAI INDONESIA</t>
  </si>
  <si>
    <t>Pengadaan Jasa Sewa Radio Komunikasi</t>
  </si>
  <si>
    <t>MS-106</t>
  </si>
  <si>
    <t>Pengadaan SOC (Security Operation Center), PAM (Priviledge Access Management) dan Layanan Managed Service Security</t>
  </si>
  <si>
    <t>MS-107</t>
  </si>
  <si>
    <t>Penyediaan Jasa Dukungan Operasional Fungsi Shared Services ICT Tahun 2025-2026</t>
  </si>
  <si>
    <t>MS-108</t>
  </si>
  <si>
    <t>Penyediaan Jasa Layanan Notifikasi SMS Penagihan Piutang Pelanggan Tahun 2026</t>
  </si>
  <si>
    <t>MS-109</t>
  </si>
  <si>
    <t>Penyediaan Personil Tenaga Alih Daya (TAD) di PT Perusahaan Gas Negara (PGN) HSSE Untuk Rencana Pekerjaan PGN Digital HSSE Campaign Tahun 2026</t>
  </si>
  <si>
    <t>MS-110</t>
  </si>
  <si>
    <t>Penyediaan Aplikasi Point of Sales untuk Pemberdayaan Aset</t>
  </si>
  <si>
    <t>MS-111</t>
  </si>
  <si>
    <t xml:space="preserve">Pekerjaan Jasa Pengelolaan Modul Smartship dan Pemeliharaan Sensor Kapal </t>
  </si>
  <si>
    <t>MS-112</t>
  </si>
  <si>
    <t>PT PERTAGAS NIAGA</t>
  </si>
  <si>
    <t>Pengadaan Strategic Cyber Security Assesment &amp; Prevention Management Penetration Testing</t>
  </si>
  <si>
    <t>MS-113</t>
  </si>
  <si>
    <t>SAKA INDONESIA PANGKAH PTE LTD</t>
  </si>
  <si>
    <t>Smartpresence Bimasakti Saka 2026</t>
  </si>
  <si>
    <t>MS-114</t>
  </si>
  <si>
    <t>MS-115</t>
  </si>
  <si>
    <t>MS-116</t>
  </si>
  <si>
    <t>MS-117</t>
  </si>
  <si>
    <t>SATUAN KERJA</t>
  </si>
  <si>
    <t>BULAN</t>
  </si>
  <si>
    <t>STATUS</t>
  </si>
  <si>
    <t>SCS</t>
  </si>
  <si>
    <t>JANUARI</t>
  </si>
  <si>
    <t>WAIT INV</t>
  </si>
  <si>
    <t>RS I</t>
  </si>
  <si>
    <t>FEBRUARI</t>
  </si>
  <si>
    <t>POPAY</t>
  </si>
  <si>
    <t>RS II</t>
  </si>
  <si>
    <t>MARET</t>
  </si>
  <si>
    <t>PAID</t>
  </si>
  <si>
    <t>DMO</t>
  </si>
  <si>
    <t>APRIL</t>
  </si>
  <si>
    <t>OSM</t>
  </si>
  <si>
    <t>MEI</t>
  </si>
  <si>
    <t>HCGA</t>
  </si>
  <si>
    <t>JUNI</t>
  </si>
  <si>
    <t>JULI</t>
  </si>
  <si>
    <t>AGUSTUS</t>
  </si>
  <si>
    <t>SEPTEMBER</t>
  </si>
  <si>
    <t>OKTOBER</t>
  </si>
  <si>
    <t>NOVEMBER</t>
  </si>
  <si>
    <t>DESEMBER</t>
  </si>
  <si>
    <t>No</t>
  </si>
  <si>
    <t>Kode Project</t>
  </si>
  <si>
    <t>Nama Pekerjaan</t>
  </si>
  <si>
    <t>Aktivity</t>
  </si>
  <si>
    <t>Satuan Kerja</t>
  </si>
  <si>
    <t>PIC</t>
  </si>
  <si>
    <t>Prognosa Biaya</t>
  </si>
  <si>
    <t>Periode</t>
  </si>
  <si>
    <t>Partner</t>
  </si>
  <si>
    <t>Keterangan</t>
  </si>
  <si>
    <t>Tahun</t>
  </si>
  <si>
    <t>PS-024-00</t>
  </si>
  <si>
    <t>Biaya Pekerja</t>
  </si>
  <si>
    <t>Fikar</t>
  </si>
  <si>
    <t>PT Personel Alih Daya</t>
  </si>
  <si>
    <t>PS-019-00</t>
  </si>
  <si>
    <t>BIAYA BUFFER</t>
  </si>
  <si>
    <t>CHYNTIA</t>
  </si>
  <si>
    <t xml:space="preserve">JULI </t>
  </si>
  <si>
    <t>PT PERSONEL ALIH DAYA</t>
  </si>
  <si>
    <t>UPAH</t>
  </si>
  <si>
    <t>PIKET NATARU</t>
  </si>
  <si>
    <t>SPPD</t>
  </si>
  <si>
    <t>TRAINING</t>
  </si>
  <si>
    <t>WORKSHOP</t>
  </si>
  <si>
    <t>KOMPENSASI</t>
  </si>
  <si>
    <t>PS-040-00</t>
  </si>
  <si>
    <t>VAPT 1</t>
  </si>
  <si>
    <t>RIKI</t>
  </si>
  <si>
    <t>PT. CYNNEX INTEGRASI SOLUSI</t>
  </si>
  <si>
    <t>VAPT 2</t>
  </si>
  <si>
    <t>CLOUD VPS</t>
  </si>
  <si>
    <t>PT DATACOMM DIANGRAHA</t>
  </si>
  <si>
    <t>CLOUD VPS(AMD)</t>
  </si>
  <si>
    <t>PS-030-00</t>
  </si>
  <si>
    <t>MRC MEI</t>
  </si>
  <si>
    <t>PT. BERCA HARDAYAPRAKARSA</t>
  </si>
  <si>
    <t>MRC JUNI</t>
  </si>
  <si>
    <t>MRC JULI</t>
  </si>
  <si>
    <t>MRC AGUSTUS</t>
  </si>
  <si>
    <t>MRC SEPTEMBER</t>
  </si>
  <si>
    <t>MRC OKTOBER</t>
  </si>
  <si>
    <t>MRC NOVEMBER</t>
  </si>
  <si>
    <t>MRC DESEMBER</t>
  </si>
  <si>
    <t>AMD JASA INSTALASI RAM</t>
  </si>
  <si>
    <t>ADD POWER DCI  3KVA</t>
  </si>
  <si>
    <t>PT. DCI</t>
  </si>
  <si>
    <t>SO 626</t>
  </si>
  <si>
    <t>PS-018-00</t>
  </si>
  <si>
    <t>PS-023-00</t>
  </si>
  <si>
    <t>PARKIR</t>
  </si>
  <si>
    <t>PS-004-00</t>
  </si>
  <si>
    <t>PS-046-00</t>
  </si>
  <si>
    <t>PS-047-00</t>
  </si>
  <si>
    <t>TUNJANGAN OFFSHORE</t>
  </si>
  <si>
    <t>KOTEKA</t>
  </si>
  <si>
    <t>PS-034-00</t>
  </si>
  <si>
    <t>PS-060-00</t>
  </si>
  <si>
    <t>PS-020-00</t>
  </si>
  <si>
    <t>WORKSHOP OT SECURITY</t>
  </si>
  <si>
    <t>PS-028-00</t>
  </si>
  <si>
    <t>PS-008-00</t>
  </si>
  <si>
    <t>PS-027-00</t>
  </si>
  <si>
    <t>PS-044-00</t>
  </si>
  <si>
    <t>PT BEIBI CEMERLANG INDONESIA</t>
  </si>
  <si>
    <t>PS-031-00</t>
  </si>
  <si>
    <t>PS-056-00</t>
  </si>
  <si>
    <t>PS-026-00</t>
  </si>
  <si>
    <t>PT PRO SIGMAKA</t>
  </si>
  <si>
    <t>PS-012-00</t>
  </si>
  <si>
    <t>PS-010-00</t>
  </si>
  <si>
    <t>DIRECT HIRE</t>
  </si>
  <si>
    <t>AJI</t>
  </si>
  <si>
    <t>Kontrak Induk</t>
  </si>
  <si>
    <t>Kontrak Turunan</t>
  </si>
  <si>
    <t>Client</t>
  </si>
  <si>
    <t>Sales</t>
  </si>
  <si>
    <t>Area</t>
  </si>
  <si>
    <t>End of contract</t>
  </si>
  <si>
    <t>Nilai</t>
  </si>
  <si>
    <t>kontrak tunggal</t>
  </si>
  <si>
    <t>Pekerjaan Penyediaan Aplikasi Performance And Competency Management Competency Management</t>
  </si>
  <si>
    <t>PT Gagas Energi Indonesia</t>
  </si>
  <si>
    <t>Hona</t>
  </si>
  <si>
    <t>HO</t>
  </si>
  <si>
    <t>Pekerjaan Jasa Developing Dashboard PSAIMS dan HSSE Forntliner System</t>
  </si>
  <si>
    <t>PT Perusahaan Gas Negara</t>
  </si>
  <si>
    <t>Kelvin</t>
  </si>
  <si>
    <t>Tindak Lanjut Pekerjaan Pengadaan Jasa Tekninal Asistensi Sistem Management Informasi Legal</t>
  </si>
  <si>
    <t>Pengadaan Jasa Manage Service E-KYC</t>
  </si>
  <si>
    <t>Junita</t>
  </si>
  <si>
    <t>Layanan Customer Relationship Management Billing Retail (end mei 2024)</t>
  </si>
  <si>
    <t>PT Telemedia Dinamika Sarana</t>
  </si>
  <si>
    <t>Ega</t>
  </si>
  <si>
    <t>Pengadaan Pembangunan SIPGAS EM Fungsi Monitoring Komunikasi CRM Tahun 2024</t>
  </si>
  <si>
    <t>Perpanjangan Layanan Delivery Pekerjaan Pengadaan Sewa Aplikasi Point of Sales untuk Pemberdayaan Aset 2026</t>
  </si>
  <si>
    <t>Nisa</t>
  </si>
  <si>
    <t>Managed Service Aplikasi Pengelolaan Piutang (Modul Restrukturisasi Piutang &amp; Pengendalian {Pemakaian Gas)</t>
  </si>
  <si>
    <t>Delivery Jasa Pemeliharaan APlikasi HSSE Online System and Indicator Performance Center</t>
  </si>
  <si>
    <t>Smart meter</t>
  </si>
  <si>
    <t>Erdika</t>
  </si>
  <si>
    <t xml:space="preserve">Geospatial Update Licensing Information System </t>
  </si>
  <si>
    <t>Mumtaz</t>
  </si>
  <si>
    <t>RO Bekasi</t>
  </si>
  <si>
    <t>Jasa Pembuatan Sistem Data Kinerja PGN SOR III</t>
  </si>
  <si>
    <t>Rosiana</t>
  </si>
  <si>
    <t>RO Jabatim</t>
  </si>
  <si>
    <t>Pengembangan dan Peningkatan Kapabilitas Aplikasi ENERGY (Enterprise Revenue Generation System)</t>
  </si>
  <si>
    <t>Alifa</t>
  </si>
  <si>
    <t>RO Jakarta</t>
  </si>
  <si>
    <t>LPASI 2025</t>
  </si>
  <si>
    <t>LPASI : Pembuatan Dashboard ELO Procurement</t>
  </si>
  <si>
    <t>LPASI : Implementasi DAMARA &amp; ELO ECM Suite</t>
  </si>
  <si>
    <t>Jasa Pengembangan Aplikasi Gas Up (Coaching &amp; Mentoring)</t>
  </si>
  <si>
    <t xml:space="preserve">Alifa </t>
  </si>
  <si>
    <t>Pekerjaan Pengembangan Aplikasi PGN E-Lease Tahun 2025</t>
  </si>
  <si>
    <t>Website PGN</t>
  </si>
  <si>
    <t>Pengembangan Aplikasi Digitalisasi Berlangganan Gas Pelanggan Komersial Industri</t>
  </si>
  <si>
    <t>Penyediaan Lisensi Piranti Lunak dan Annual Technical Support</t>
  </si>
  <si>
    <t>PGN Register</t>
  </si>
  <si>
    <t>Kontrak induk</t>
  </si>
  <si>
    <t>Tanggal WO</t>
  </si>
  <si>
    <t>MSAIS 2026</t>
  </si>
  <si>
    <t>Jasa enhancement E-SMS</t>
  </si>
  <si>
    <t>PT Perusahaan Gas negara</t>
  </si>
  <si>
    <t>Pekerjaan Enhancement 16 KB Page File (Android), Multifactor Authentification (MFA) (Android &amp; IOS) Serta Implementasi Progressive Web App (PWA)</t>
  </si>
  <si>
    <t>Pekerjaan Pengelolaan &amp; Dukungan Aplikasi Kepelangganan PGN Tahun 2026</t>
  </si>
  <si>
    <t>Project_ID</t>
  </si>
  <si>
    <t>Project_client</t>
  </si>
  <si>
    <t>Project Name</t>
  </si>
  <si>
    <t>Kontrak</t>
  </si>
  <si>
    <t>KAK</t>
  </si>
  <si>
    <t>Cost based</t>
  </si>
  <si>
    <t>Kertas kerja PSM</t>
  </si>
  <si>
    <t>TKDN</t>
  </si>
  <si>
    <t>Amandemen</t>
  </si>
  <si>
    <t>Link</t>
  </si>
  <si>
    <t>SAKA</t>
  </si>
  <si>
    <t>Pengadaan Sewa Aplikasi Absensi Online (Bimasakti)</t>
  </si>
  <si>
    <t>https://pgascom.sharepoint.com/:f:/s/DMO2-PCRM/IgBASDLQqhD3TLSMMW09hzt5AZ6yD-GxIDBIVVGSnRUi-WA?e=0baeY9</t>
  </si>
  <si>
    <t>GGS</t>
  </si>
  <si>
    <t>https://pgascom.sharepoint.com/:f:/s/DMO2-PCRM/IgCMkAFcp6tbSrzK0fiK3O1FAToaLtKHG0Jp_uSopvBO2mE?e=7SitxB</t>
  </si>
  <si>
    <t>PLI</t>
  </si>
  <si>
    <t>Jasa Pemeliharaan Sistem Kontrol dan Telekomunikasi Offtake Station (OTS) &amp; Onshore Receiving Facilities (ORF) 2025-2026</t>
  </si>
  <si>
    <t>https://pgascom.sharepoint.com/:f:/s/DMO2-PCRM/IgCywEI3sHKjQ7UX_9UywmDXAaqB1wp8xEfw-IzqdI74Kmc?e=tCe7Ip</t>
  </si>
  <si>
    <t>NR</t>
  </si>
  <si>
    <t>Jasa Layanan Radio Komunikasi - Trunking</t>
  </si>
  <si>
    <t>https://pgascom.sharepoint.com/:f:/s/DMO2-PCRM/IgCn20bxH7GpRZson8QIVMSgAWJSvX86pexvHi8-mqtmd2Q?e=NtQ2av</t>
  </si>
  <si>
    <t>PTM</t>
  </si>
  <si>
    <t>Penyediaan Layanan Platform Pilot Aplikasi Modern</t>
  </si>
  <si>
    <t>https://pgascom.sharepoint.com/:f:/s/DMO2-PCRM/IgCFYHqtUXTHTo8HLHl6nYTAAZwpnqoEvTj3nthjQ-rZZy4?e=KnxBIv</t>
  </si>
  <si>
    <t>PGN</t>
  </si>
  <si>
    <t>Layanan Pengelolaan Aplikasi dan Solusi Integrasi Tahun 2025</t>
  </si>
  <si>
    <t>https://pgascom.sharepoint.com/:f:/s/DMO2-PCRM/IgCn_ZZavLhuSbixBUVYsWz9AQ6xn-0iLYqeHx1TInNic5I?e=KBHcgb</t>
  </si>
  <si>
    <t>PPN</t>
  </si>
  <si>
    <t>https://pgascom.sharepoint.com/:f:/s/DMO2-PCRM/IgDu9fQmkhFDR4aKpnKmxkpSAf1Mje4D9Iho9C_WrQp-zi4?e=atnQ1H</t>
  </si>
  <si>
    <t>https://pgascom.sharepoint.com/:f:/s/DMO2-PCRM/IgAAx5aYb-UjSrkWQQ1DzdzjAc51jV-QSMO3eRMsA25B57E?e=H8iNeU</t>
  </si>
  <si>
    <t>SEML</t>
  </si>
  <si>
    <t>Provision of Document Management System ATS Muara Laboh</t>
  </si>
  <si>
    <t>MS-118</t>
  </si>
  <si>
    <t>SERD</t>
  </si>
  <si>
    <t>Provision of Document Management System ATS Rantau Dedap</t>
  </si>
  <si>
    <t>MS-121</t>
  </si>
  <si>
    <t>KPI</t>
  </si>
  <si>
    <t>Jasa Pendampingan Surveillance Sertifikasi ISO/IEC 27001:2022 di PT KPI</t>
  </si>
  <si>
    <t>https://pgascom.sharepoint.com/:f:/s/DMO2-PCRM/IgBHJcBF_-mWR6SFv7vCup3PAXpgcSgcI99DPIZgXlHE6kc?e=zmhNqe</t>
  </si>
  <si>
    <t>PS-000-00</t>
  </si>
  <si>
    <t>https://pgascom.sharepoint.com/:f:/s/DMO2-PCRM/IgAMhve6sr4RRKYNx_iv4nq3Afz7tqY1VwEeZn0qwTTu8qo?e=Z1DjWM</t>
  </si>
  <si>
    <t>PS-001-00</t>
  </si>
  <si>
    <t>PTG</t>
  </si>
  <si>
    <t>Manage Service Layanan Printer, Scanner, Multimedia dan UPS System di PT Pertamina Gas</t>
  </si>
  <si>
    <t>https://pgascom.sharepoint.com/:f:/s/DMO2-PCRM/IgATDttzxz9aQZeHsGLAnwDZATEP3xSUAZSSWF2MJwjqvBA?e=0Bmlfo</t>
  </si>
  <si>
    <t>PS-003-00</t>
  </si>
  <si>
    <t>WDR</t>
  </si>
  <si>
    <t>https://pgascom.sharepoint.com/:f:/s/DMO2-PCRM/IgCLqcYrWlmdS7dgHsvojo1nAft7SIc1P30G5fT1CS1xW3M?e=X2Asq1</t>
  </si>
  <si>
    <t>Pengelolaan &amp; Pengembangan Servicedesk Shared Services Pertamina</t>
  </si>
  <si>
    <t>https://pgascom.sharepoint.com/:f:/s/DMO2-PCRM/IgBf4Pizf2GxSJfWj2kn-4JFASKNk8GNy4PLJdBaZGTRHs8?e=n23lr9</t>
  </si>
  <si>
    <t>PS-005-00</t>
  </si>
  <si>
    <t>KJG</t>
  </si>
  <si>
    <t>https://pgascom.sharepoint.com/:f:/s/DMO2-PCRM/IgD0bK_uZP_TTJ5gAu1Xg4_WAQagLxaEkx9PGrJOoIOPeIE?e=AbzD1v</t>
  </si>
  <si>
    <t>PS-006-00</t>
  </si>
  <si>
    <t>PSOL</t>
  </si>
  <si>
    <t>Implementasi Vulnerability Assessment &amp; Penetration Test (VAPT) dan Technical Service Cyber Security</t>
  </si>
  <si>
    <t>https://pgascom.sharepoint.com/:f:/s/DMO2-PCRM/IgAyh4QjuxWsS5tJAeTBfdo3AQXqzRwCMUSe0xbCQ1ar7OE?e=8SBfTl</t>
  </si>
  <si>
    <t>PS-007-00</t>
  </si>
  <si>
    <t>Pekerjaan Penyediaan Layanan  Sewa Server YKPP PGN</t>
  </si>
  <si>
    <t>https://pgascom.sharepoint.com/:f:/s/DMO2-PCRM/IgCMYLbsZNeVT6dRcsK4TKRmAZc-Dh3TsHc9RaCU0QRIP-w?e=BMzu0c</t>
  </si>
  <si>
    <t>Jasa Teknikal Asistensi Sistem Manajemen Informasi Legal (SMILE) 2024</t>
  </si>
  <si>
    <t>https://pgascom.sharepoint.com/:f:/s/DMO2-PCRM/IgDMBBn0H-3wQbNZJJgN7t2qAcQC85UMrQQEabX5-LENHlI?e=orzmib</t>
  </si>
  <si>
    <t>PS-009-00</t>
  </si>
  <si>
    <t>Jasa Implementasi Security Information Event Management (SIEM) dan Security Operation Center (SOC)</t>
  </si>
  <si>
    <t>https://pgascom.sharepoint.com/:f:/s/DMO2-PCRM/IgC_AZMGMaAmRI7jwYWmK3w-AX2BsfXSa6ZO324MXWJSnJk?e=erhcY6</t>
  </si>
  <si>
    <t>https://pgascom.sharepoint.com/:f:/s/DMO2-PCRM/IgBaofmynKRRTKCWwr7jh_SyAXmKyaVz9E07YGtlpNLY0oE?e=pXRO9l</t>
  </si>
  <si>
    <t>PS-011-00</t>
  </si>
  <si>
    <t>https://pgascom.sharepoint.com/:f:/s/DMO2-PCRM/IgDRM-4yXdlPTpqB1FVE65J0AVRTEzEzX9HhakiexEtxEFc?e=T4PzVy</t>
  </si>
  <si>
    <t>PS-013-00</t>
  </si>
  <si>
    <t>https://pgascom.sharepoint.com/:f:/s/DMO2-PCRM/IgCBB8gzprowQ6SOv9SA-qzBAarzaSFyTBjkYXgZeSTMvv0?e=VhHdGP</t>
  </si>
  <si>
    <t>PS-014-00</t>
  </si>
  <si>
    <t>Penyediaan Jasa Layanan Offline Backup AWS Phase 1</t>
  </si>
  <si>
    <t>https://pgascom.sharepoint.com/:f:/s/DMO2-PCRM/IgAwpxfCI-h0Raklv4LGDvQnATQcd0KLQcdKkOsEOW4B5ZY?e=LctLWX</t>
  </si>
  <si>
    <t>PS-015-00</t>
  </si>
  <si>
    <t>https://pgascom.sharepoint.com/:f:/s/DMO2-PCRM/IgCZNoNtBVFxRLEaLnoH06RtAWk2WWZFuu3McPGzv5a2N08?e=mvvhhI</t>
  </si>
  <si>
    <t>PS-016-00</t>
  </si>
  <si>
    <t>Jasa Managed Service Pengelolaan Layanan Pelanggan Melalui Contact Center 2025-2027</t>
  </si>
  <si>
    <t>https://pgascom.sharepoint.com/:f:/s/DMO2-PCRM/IgBlYpRzviokR5NEJLwcitJiAcM3n63l-8eJr6w6pcvfGJ8?e=E6gXhq</t>
  </si>
  <si>
    <t>PS-017-00</t>
  </si>
  <si>
    <t>Jasa Penyediaan Perangkat Multimedia dan Peralatan Pendukung Ruang Integrated Monitoring Center (IMOC)</t>
  </si>
  <si>
    <t>https://pgascom.sharepoint.com/:f:/s/DMO2-PCRM/IgAIXPUMtHU6QYLG8SqFF2hqAWjcRBN25TZWAYQm7eex9jI?e=CpgalX</t>
  </si>
  <si>
    <t>https://pgascom.sharepoint.com/:f:/s/DMO2-PCRM/IgAg-LwPCp9uT5JuKsrMvg0sAeR75PhJGWTM5Ie2WDdFYWI?e=tOO9aA</t>
  </si>
  <si>
    <t>Managed Service Backup Management (Vinchin)</t>
  </si>
  <si>
    <t>https://pgascom.sharepoint.com/:f:/s/DMO2-PCRM/IgCWt-04uHYWSZX44lNsSCfMATbuBCw45Q3e4LH5vABrchA?e=iXS2M2</t>
  </si>
  <si>
    <t>https://pgascom.sharepoint.com/:f:/s/DMO2-PCRM/IgA2DrHZ4QH2Qpkn3DfEN37mAcVXRaAYWi1eLZwKQadKIgg?e=GO7Qht</t>
  </si>
  <si>
    <t>PS-021-00</t>
  </si>
  <si>
    <t>https://pgascom.sharepoint.com/:f:/s/DMO2-PCRM/IgDBZzzozJyATIV0zPFXNh9wAV6qyjKnXEBkqkFw9_3lG_k?e=dWLn5O</t>
  </si>
  <si>
    <t>PS-022-00</t>
  </si>
  <si>
    <t>Managed Service Sewa Infrastruktur Data Center (Aletra)</t>
  </si>
  <si>
    <t>https://pgascom.sharepoint.com/:f:/s/DMO2-PCRM/IgCTK0e_rgt1RL2fIkGiu1l2AXpDEiyNm9VOcnriTKyYn6M?e=OyXaHQ</t>
  </si>
  <si>
    <t>Managed Service Teknologi Informasi (MSTI) 2025</t>
  </si>
  <si>
    <t>https://pgascom.sharepoint.com/:f:/s/DMO2-PCRM/IgBgihMLdWI5ToCPTTCFywLAAcMI9VkAhI20woHPnHEXeHk?e=BXz8wB</t>
  </si>
  <si>
    <t>Managed Service Teknologi Informasi (MSTI) 2026</t>
  </si>
  <si>
    <t>https://pgascom.sharepoint.com/:f:/s/DMO2-PCRM/IgCG90vWicUITZ63SbEfn4KjAefP-Agl7ElUvCphHnCRcW0?e=hHAcfK</t>
  </si>
  <si>
    <t>Pekerjaan Jasa Operasi dan Pemeliharaan Terintegrasi Gas Management System (PJOPTGMS)</t>
  </si>
  <si>
    <t>https://pgascom.sharepoint.com/:f:/s/DMO2-PCRM/IgBlkT9quqi1RKmnFa3CjZqaAdE_ZGgGZCQ8FZyIPRqH2Ls?e=hrgTe0</t>
  </si>
  <si>
    <t>PS-025-00</t>
  </si>
  <si>
    <t>https://pgascom.sharepoint.com/:f:/s/DMO2-PCRM/IgCt541XeKLuQadmPB6hVwXlAX_3kVWAEI41_DhcHkM7WQg?e=5unRBw</t>
  </si>
  <si>
    <t>Pengadaan Jasa Managed Service E-KYC</t>
  </si>
  <si>
    <t>https://pgascom.sharepoint.com/:f:/s/DMO2-PCRM/IgDSZe5v2QIvQ73n9k-QUsbMAZpfJYyaPCW_gillnkXZNKM?e=Fg2Yow</t>
  </si>
  <si>
    <t>https://pgascom.sharepoint.com/:f:/s/DMO2-PCRM/IgBDk-EoL6l5RbJy8-ZxrVCqAXFMtYFRT3K2y0zqSI6pDE8?e=7jfaUa</t>
  </si>
  <si>
    <t>Penyediaan Layanan Sistem Radio Komunikasi 2025-2027</t>
  </si>
  <si>
    <t>https://pgascom.sharepoint.com/:f:/s/DMO2-PCRM/IgBsEn79AZpdSYdLyBkburUPAUYHvjNXj1ddFAwtVT7b1XA?e=Uwk1Z9</t>
  </si>
  <si>
    <t>PS-029-00</t>
  </si>
  <si>
    <t>Penyediaan Lisensi Piranti Lunak Periode IV (Google Maps)</t>
  </si>
  <si>
    <t>https://pgascom.sharepoint.com/:f:/s/DMO2-PCRM/IgAHEgmTFyyyTJ4uFZ36W1dIAe2kZhE4fiX6D8g7dF4Hf3Q?e=Wr7ovx</t>
  </si>
  <si>
    <t>Sewa Perangkat Infrastruktur Teknologi Informasi (Sangfor)</t>
  </si>
  <si>
    <t>https://pgascom.sharepoint.com/:f:/s/DMO2-PCRM/IgB9WQGFSm8PQ7zJz4lU80CNAYy-YpYvdqb5JBdjAgGVlhw?e=uDtFCJ</t>
  </si>
  <si>
    <t>PS-032-00</t>
  </si>
  <si>
    <t>https://pgascom.sharepoint.com/:f:/s/DMO2-PCRM/IgAruXOx_eIDRqpPLfXCDInEAYG7a-YSFaWzVZDIlflQ8nU?e=40V6kH</t>
  </si>
  <si>
    <t>PS-033-00</t>
  </si>
  <si>
    <t>Managed Service Cyber Security Awareness 2026</t>
  </si>
  <si>
    <t>https://pgascom.sharepoint.com/:f:/s/DMO2-PCRM/IgAb5S6-_gmyRrqQ0lEcwlozAS5AH2yHsLjFXARzDzSArpY?e=FNNVfh</t>
  </si>
  <si>
    <t>https://pgascom.sharepoint.com/:f:/s/DMO2-PCRM/IgAQQ4Gu1ds-QLAqfliMziBlAeq6s8-FcvWplmxPSpD14vQ?e=ZVQ9fu</t>
  </si>
  <si>
    <t>PS-035-00</t>
  </si>
  <si>
    <t>Layanan Sewa Perangkat Server dan Network Teknologi Informasi dan Layanan Sewa Perangkat Infrastruktur Teknologi Informasi SPO Nusantara</t>
  </si>
  <si>
    <t>https://pgascom.sharepoint.com/:f:/s/DMO2-PCRM/IgDznFUBaJq7SpST_IBIQk3NAdO0DHt6fYJKN5zNmIwNLjo?e=Nha86s</t>
  </si>
  <si>
    <t>PS-036-00</t>
  </si>
  <si>
    <t>Manage Service Layanan Perangkat Command Crisis Center PT Pertamina Gas</t>
  </si>
  <si>
    <t>https://pgascom.sharepoint.com/:f:/s/DMO2-PCRM/IgBmJcwGP1sVRJl0oZzKqKxUAZg3L7uE-_cR0PQ2ANYtDS8?e=aBbFty</t>
  </si>
  <si>
    <t>PS-037-00</t>
  </si>
  <si>
    <t>https://pgascom.sharepoint.com/:f:/s/DMO2-PCRM/IgCeJf-gNf7DTKNLUYuQN8SmAec_Gw9WiMqY3-NyKZNY7tc?e=RVwpSW</t>
  </si>
  <si>
    <t>PS-038-00</t>
  </si>
  <si>
    <t>Managed Service SD-WAN</t>
  </si>
  <si>
    <t>https://pgascom.sharepoint.com/:f:/s/DMO2-PCRM/IgCGxGeybmbqS4Jq9wb_mj7ZAd9Vcrkj1gShQ28v_tyfuxU?e=X3CKDb</t>
  </si>
  <si>
    <t>PS-039-00</t>
  </si>
  <si>
    <t>Managed Service Sewa layanan IP Phone System</t>
  </si>
  <si>
    <t>https://pgascom.sharepoint.com/:f:/s/DMO2-PCRM/IgCrHP80zRtHTJ8QZ5rWSQXsAeBZhEZy58NbdOT1w4CK8hA?e=S7W765</t>
  </si>
  <si>
    <t>Pekerjaan Layanan Cloud (dan VAPT)</t>
  </si>
  <si>
    <t>https://pgascom.sharepoint.com/:f:/s/DMO2-PCRM/IgB1jyikSbdRTL88Qk9sfM2FAQP5R_XVC45vmOec-hDJ3hU?e=dt1iuy</t>
  </si>
  <si>
    <t>PS-042-00</t>
  </si>
  <si>
    <t>https://pgascom.sharepoint.com/:f:/s/DMO2-PCRM/IgBoL7rS7L_eSKnHW-xG1apvATBUkDVIk1ey2j_nCqTWNjA?e=UAjhYR</t>
  </si>
  <si>
    <t>PS-043-00</t>
  </si>
  <si>
    <t>https://pgascom.sharepoint.com/:f:/s/DMO2-PCRM/IgA5T26GlR6DRbPxnYV50Zj6AfhNoPj5SXPufRQ5iPJx5Xs?e=ccYSOh</t>
  </si>
  <si>
    <t>https://pgascom.sharepoint.com/:f:/s/DMO2-PCRM/IgBqNnnA2XdUQJdf4Y6xMLFzAbDKUxBG8M0g8PkPcLWt9FU?e=cgu6HV</t>
  </si>
  <si>
    <t>PS-045-00</t>
  </si>
  <si>
    <t>PIS</t>
  </si>
  <si>
    <t>Penyediaan Perangkat Multimedia Ballroom dan Mini Galery</t>
  </si>
  <si>
    <t>https://pgascom.sharepoint.com/:f:/s/DMO2-PCRM/IgDeuviU1rFRQ5C_gsaLTkQMAXRccdYQ_DCeK6nLnZLXmPg?e=faRttk</t>
  </si>
  <si>
    <t>PET</t>
  </si>
  <si>
    <t>Sewa Perangkat Radio Komunikasi di TLPG Tanjung Sekong, IT Tanjung Uban, FT Pulau Sambu, FT Kotabaru dan FT Baubau</t>
  </si>
  <si>
    <t>https://pgascom.sharepoint.com/:f:/s/DMO2-PCRM/IgDWPB_Ybu78Qau3TLu20ayiATm_BRZdaRNjt6C_6PvRd0Q?e=hgCCvb</t>
  </si>
  <si>
    <t>PHE</t>
  </si>
  <si>
    <t>Layanan Telekomunikasi Site</t>
  </si>
  <si>
    <t>https://pgascom.sharepoint.com/:f:/s/DMO2-PCRM/IgAYA9iJ1lZNQIJK0PMlw4I4AQ9v_C6MZg1IOLbPlyUqU-8?e=YRWp9t</t>
  </si>
  <si>
    <t>PS-048-00</t>
  </si>
  <si>
    <t xml:space="preserve">PIS </t>
  </si>
  <si>
    <t>https://pgascom.sharepoint.com/:f:/s/DMO2-PCRM/IgDkqHpL8SRdSpGCoElDu5SMAaveypUYtXbvino4OxEFvFY?e=cOwPQk</t>
  </si>
  <si>
    <t>PS-049-00</t>
  </si>
  <si>
    <t>NSI</t>
  </si>
  <si>
    <t>https://pgascom.sharepoint.com/:f:/s/DMO2-PCRM/IgA41Gb-vQcfTIrtxlevHWJaATwUF7krbx4crovsyLLdMr4?e=8Mddl5</t>
  </si>
  <si>
    <t>PS-050-00</t>
  </si>
  <si>
    <t>PAS</t>
  </si>
  <si>
    <t>https://pgascom.sharepoint.com/:f:/s/DMO2-PCRM/IgCjoofSr0sTR5BZ6vYaK65iASDgmeSHN1R52TpkfW_PPTI?e=LQ6fKH</t>
  </si>
  <si>
    <t>PS-051-00</t>
  </si>
  <si>
    <t xml:space="preserve">PTPN </t>
  </si>
  <si>
    <t xml:space="preserve">Penyediaan Layanan Managed Services Security Operation Center (SOC) PTPN HOLING </t>
  </si>
  <si>
    <t>https://pgascom.sharepoint.com/:f:/s/DMO2-PCRM/IgAzskV5jZ0zTKWgJ4e3AA6fAf86Bvl89t19RpG-lV3lB7M?e=pJGbLe</t>
  </si>
  <si>
    <t>PS-052-00</t>
  </si>
  <si>
    <t>PTGN</t>
  </si>
  <si>
    <t>https://pgascom.sharepoint.com/:f:/s/DMO2-PCRM/IgCJICcvxPTsRZCAgINB5_GmAfMkchr7liafWSD-NxNom4k?e=nfjYdu</t>
  </si>
  <si>
    <t>PS-053-00</t>
  </si>
  <si>
    <t>YKP</t>
  </si>
  <si>
    <t>Penetration Testing All Care System</t>
  </si>
  <si>
    <t>https://pgascom.sharepoint.com/:f:/s/DMO2-PCRM/IgAhzvFm2hYQQpspNlMePuRRAaVdXDG5TQrE9nYAShNlxog?e=VWirPf</t>
  </si>
  <si>
    <t>PS-055-00</t>
  </si>
  <si>
    <t>Jasa Keamanan Operasi Cyber Security PT Kilang Pertamina Internasional</t>
  </si>
  <si>
    <t>SP3MK</t>
  </si>
  <si>
    <t>https://pgascom.sharepoint.com/:f:/s/DMO2-PCRM/IgBCrOlR3_CBR6OpdjRi_mQfAcKi841zHBZzqEDDgd4v4AY?e=zcp6wj</t>
  </si>
  <si>
    <t>Pengadaan Jasa Pengembangan &amp; Pemeliharaan Aplikasi Pendukung IT Project Pertamina Patra Niaga</t>
  </si>
  <si>
    <t>2026 - Pekerjaan Pengadaan Jasa Pengembangan dan Pemeliharaan Aplikasi Pendukung IT Project Pertamina Patra Niaga</t>
  </si>
  <si>
    <t>PS-057-00</t>
  </si>
  <si>
    <t>https://pgascom.sharepoint.com/:f:/s/DMO2-PCRM/IgCGwtepp6gyTrqXb48W7QfHAbrw4fk9hq01yBqa6-ANlrI?e=4ZgJw2</t>
  </si>
  <si>
    <t>PS-058-00</t>
  </si>
  <si>
    <t>Penyediaan Perangkat Network System Refreshment</t>
  </si>
  <si>
    <t>https://pgascom.sharepoint.com/:f:/s/DMO2-PCRM/IgCytRyrgIivTK13KvPH2JhQAaHwDisr1S5Xs0lw8ugdwCc?e=EHmJWM</t>
  </si>
  <si>
    <t>PS-059-00</t>
  </si>
  <si>
    <t>Penyediaan Jasa Klasifikasi Keamanan Informasi</t>
  </si>
  <si>
    <t>https://pgascom.sharepoint.com/:f:/s/DMO2-PCRM/IgA1mwXUlWGPSJ5YqwEY-pjrAV5-sXHJU0m3wu-3RlHy4Jc?e=eDBWcj</t>
  </si>
  <si>
    <t>2026 - Enhancement Aplikasi System Integrasi Datamart &amp; Tools Monitoring Dashboard Management Kinerja Niaga</t>
  </si>
  <si>
    <t>PS-061-00</t>
  </si>
  <si>
    <t>Pengadaan Monitor PGN GCG &amp; Compliance</t>
  </si>
  <si>
    <t>2026 - Pengadaan Monitor GCG dan Compliance</t>
  </si>
  <si>
    <t>PS-062-00</t>
  </si>
  <si>
    <t xml:space="preserve">Security Awareness-Cyber Security BSSN forum untuk AP/JV </t>
  </si>
  <si>
    <t>2026 - Security Awareness-Cyber Security BSSN Forum untuk AP-JV</t>
  </si>
  <si>
    <t>Account Manager</t>
  </si>
  <si>
    <t>Pre-Sales</t>
  </si>
  <si>
    <t>Project Manager</t>
  </si>
  <si>
    <t>Service Manager</t>
  </si>
  <si>
    <t xml:space="preserve">Managed Service Cyber Security Awareness </t>
  </si>
  <si>
    <t>MS-119</t>
  </si>
  <si>
    <t>MS-120</t>
  </si>
  <si>
    <t>LIST PEKERJAAN ONGOING PER 1 JUNI 2026</t>
  </si>
  <si>
    <t>Group ID</t>
  </si>
  <si>
    <t>Project ID Lama</t>
  </si>
  <si>
    <t>Project ID Baru</t>
  </si>
  <si>
    <t>GRUP</t>
  </si>
  <si>
    <t>KODE</t>
  </si>
  <si>
    <t>Nomor</t>
  </si>
  <si>
    <t>CLIENT2</t>
  </si>
  <si>
    <t>INITIAL</t>
  </si>
  <si>
    <t>HOLDING</t>
  </si>
  <si>
    <t>G1</t>
  </si>
  <si>
    <t>G2</t>
  </si>
  <si>
    <t>NRG</t>
  </si>
  <si>
    <t>Jasa Event IT Security Januari 2024 - Desember 2025</t>
  </si>
  <si>
    <t>SHG</t>
  </si>
  <si>
    <t>PT PGN LNG Indonesia</t>
  </si>
  <si>
    <t>G3</t>
  </si>
  <si>
    <t>Layanan Radio Komunikasi-Trunking 24 Bulan</t>
  </si>
  <si>
    <t>PGN GROUP</t>
  </si>
  <si>
    <t>PT Pertamina Gas</t>
  </si>
  <si>
    <t>Pekerjaan Jasa Pengadaan Event IT Security PT Nusantara Regas</t>
  </si>
  <si>
    <t>PERTAMINA GROUP</t>
  </si>
  <si>
    <t>G4</t>
  </si>
  <si>
    <t>PT Pertamina Persero</t>
  </si>
  <si>
    <t>NON PERTAMINA</t>
  </si>
  <si>
    <t>G5</t>
  </si>
  <si>
    <t>PT Nusantara Regas</t>
  </si>
  <si>
    <t>PT Saka Energi Indonesia</t>
  </si>
  <si>
    <t>TGI</t>
  </si>
  <si>
    <t>PT Pertamina Energi Terminal</t>
  </si>
  <si>
    <t>PT Pelita Air Service</t>
  </si>
  <si>
    <t>PT PGAS Solution</t>
  </si>
  <si>
    <t>PT Pertamina Hulu Energi</t>
  </si>
  <si>
    <t>PT Kalimantan Jawa gas</t>
  </si>
  <si>
    <t>PT Pertamina International Shipping</t>
  </si>
  <si>
    <t>PT Widar Mandripa Nusantara</t>
  </si>
  <si>
    <t>PT Pertamina Geothermal Energy</t>
  </si>
  <si>
    <t>PGE</t>
  </si>
  <si>
    <t>PS-002-00</t>
  </si>
  <si>
    <t>PT Kilang Pertamina Internasional</t>
  </si>
  <si>
    <t>Pengadaan Sewa Aplikasi Absensi Online (Bimasakti) PT Widar Mandripa Nusantara</t>
  </si>
  <si>
    <t>PT Pertamina Patra Niaga</t>
  </si>
  <si>
    <t>PT Nippon Shokubai Indonesia</t>
  </si>
  <si>
    <t>PT Pertagas Niaga</t>
  </si>
  <si>
    <t>Yayasan Kesehatan Pertamina</t>
  </si>
  <si>
    <t>PT Pekerbunan Nusantara I</t>
  </si>
  <si>
    <t>PT Pekerbunan Nusantara III</t>
  </si>
  <si>
    <t>PT Pekerbunan Nusantara IV</t>
  </si>
  <si>
    <t>Penyediaan Jasa Dukungan Operasional Fungsi Shared Services ICT Tahun</t>
  </si>
  <si>
    <t>PT Sinergi Gula Nusantara</t>
  </si>
  <si>
    <t>PT Riset Perkebunan Nusantara</t>
  </si>
  <si>
    <t>Pengadaan Jasa Penyediaan Endpoint Security</t>
  </si>
  <si>
    <t>PT LPP Agro Nusantara</t>
  </si>
  <si>
    <t>PT Kharisma Pemasaran Bersama Nusantara</t>
  </si>
  <si>
    <t>PT Industri Karet Nusantara</t>
  </si>
  <si>
    <t>PT Sri Pamela Medika Nusantara</t>
  </si>
  <si>
    <t>Jasa Managed Service Pengelolaan Layanan Pelanggan Melalui Contact Center</t>
  </si>
  <si>
    <t>PT Kawasan Industri Nusantara</t>
  </si>
  <si>
    <t>PT Bio Industri Nusantara</t>
  </si>
  <si>
    <t>Managed Service Aplication Integration Solutions (MSAIS)</t>
  </si>
  <si>
    <t>PT Supreme Energi Muara Laboh</t>
  </si>
  <si>
    <t>PS-018-01</t>
  </si>
  <si>
    <t>Managed Service Aplication Integration Solutions (MSAIS): Jasa enhancement E-SMS 2026</t>
  </si>
  <si>
    <t>PT Supreme Energi Rantau Dedap</t>
  </si>
  <si>
    <t>PS-018-02</t>
  </si>
  <si>
    <t>PS-018-03</t>
  </si>
  <si>
    <t>Managed Service Cyber Security (MSCS)</t>
  </si>
  <si>
    <t>Managed Service OT Security (MSOT)</t>
  </si>
  <si>
    <t>Managed Service Teknologi Informasi (MSTI)</t>
  </si>
  <si>
    <t>Penyediaan Layanan Sistem Radio Komunikasi</t>
  </si>
  <si>
    <t>Penyediaan Personil Tenaga Alih Daya (TAD) di PT Perusahaan Gas Negara (PGN) HSSE Untuk Rencana Pekerjaan PGN Digital HSSE Campaign</t>
  </si>
  <si>
    <t>PS-041-00</t>
  </si>
  <si>
    <t>Pengadaan Sewa Aplikasi Absensi Online (Bimasakti) PT Gagas Energi Indonesia</t>
  </si>
  <si>
    <t>Pengadaan Sewa Aplikasi Absensi Online (Bimasakti) PT Saka Energi Indonesia</t>
  </si>
  <si>
    <t>Penyediaan Layanan Managed Services Security Operation Center (SOC) PTPN III</t>
  </si>
  <si>
    <t>PS-054-00</t>
  </si>
  <si>
    <t>Pengadaan Firewall Amandemen Perjanjian Pengadaan Link Metro Ethemet Dan Colocation Data Center Utama</t>
  </si>
  <si>
    <t>Security Awareness-Cyber Security BSSN Forum untuk AP/JV PT Pertamina Gas 2026</t>
  </si>
  <si>
    <t>PS-063-00</t>
  </si>
  <si>
    <t>Penyediaan Layanan Managed Services Security Operation Center (SOC) PTPN I</t>
  </si>
  <si>
    <t>PS-064-00</t>
  </si>
  <si>
    <t>Penyediaan Layanan Managed Services Security Operation Center (SOC) PTPN IV</t>
  </si>
  <si>
    <t>PS-065-00</t>
  </si>
  <si>
    <t>Penyediaan Layanan Managed Services Security Operation Center (SOC) PT SGN</t>
  </si>
  <si>
    <t>PS-066-00</t>
  </si>
  <si>
    <t>Penyediaan Layanan Managed Services Security Operation Center (SOC) PT RPN</t>
  </si>
  <si>
    <t>PS-067-00</t>
  </si>
  <si>
    <t>Penyediaan Layanan Managed Services Security Operation Center (SOC) PT LPP AN</t>
  </si>
  <si>
    <t>PS-068-00</t>
  </si>
  <si>
    <t>Penyediaan Layanan Managed Services Security Operation Center (SOC) PT KPBN</t>
  </si>
  <si>
    <t>PS-069-00</t>
  </si>
  <si>
    <t>Penyediaan Layanan Managed Services Security Operation Center (SOC) PT IKN</t>
  </si>
  <si>
    <t>PS-070-00</t>
  </si>
  <si>
    <t>Penyediaan Layanan Managed Services Security Operation Center (SOC) PT SPMN</t>
  </si>
  <si>
    <t>PS-071-00</t>
  </si>
  <si>
    <t>Penyediaan Layanan Managed Services Security Operation Center (SOC) PT KIN</t>
  </si>
  <si>
    <t>PS-072-00</t>
  </si>
  <si>
    <t>Penyediaan Layanan Managed Services Security Operation Center (SOC) PT BIN</t>
  </si>
  <si>
    <t>PS-073-00</t>
  </si>
  <si>
    <t>Penyediaan ATS &amp; Lisensi SIEM</t>
  </si>
  <si>
    <t>ID</t>
  </si>
  <si>
    <t>Description</t>
  </si>
  <si>
    <t>Jan-26</t>
  </si>
  <si>
    <t>Feb-26</t>
  </si>
  <si>
    <t>Mar-26</t>
  </si>
  <si>
    <t>Apr-26</t>
  </si>
  <si>
    <t>Mei-26</t>
  </si>
  <si>
    <t>Jun-26</t>
  </si>
  <si>
    <t>Jul-26</t>
  </si>
  <si>
    <t>Agu-26</t>
  </si>
  <si>
    <t>Sep-26</t>
  </si>
  <si>
    <t>Okt-26</t>
  </si>
  <si>
    <t>Nov-26</t>
  </si>
  <si>
    <t>Des-26</t>
  </si>
  <si>
    <t>Jan-27</t>
  </si>
  <si>
    <t>Feb-27</t>
  </si>
  <si>
    <t>Mar-27</t>
  </si>
  <si>
    <t>Apr-27</t>
  </si>
  <si>
    <t>Mei-27</t>
  </si>
  <si>
    <t>Jun-27</t>
  </si>
  <si>
    <t>Jul-27</t>
  </si>
  <si>
    <t>Agu-27</t>
  </si>
  <si>
    <t>Sep-27</t>
  </si>
  <si>
    <t>Okt-27</t>
  </si>
  <si>
    <t>Nov-27</t>
  </si>
  <si>
    <t>Des-27</t>
  </si>
  <si>
    <t>Jan-28</t>
  </si>
  <si>
    <t>Feb-28</t>
  </si>
  <si>
    <t>Mar-28</t>
  </si>
  <si>
    <t>Apr-28</t>
  </si>
  <si>
    <t>Mei-28</t>
  </si>
  <si>
    <t>Jun-28</t>
  </si>
  <si>
    <t>Jul-28</t>
  </si>
  <si>
    <t>Agu-28</t>
  </si>
  <si>
    <t>Sep-28</t>
  </si>
  <si>
    <t>Okt-28</t>
  </si>
  <si>
    <t>Nov-28</t>
  </si>
  <si>
    <t>Des-28</t>
  </si>
  <si>
    <t>Jan-29</t>
  </si>
  <si>
    <t>Feb-29</t>
  </si>
  <si>
    <t>Mar-29</t>
  </si>
  <si>
    <t>Apr-29</t>
  </si>
  <si>
    <t>Mei-29</t>
  </si>
  <si>
    <t>Jun-29</t>
  </si>
  <si>
    <t>Jul-29</t>
  </si>
  <si>
    <t>Agu-29</t>
  </si>
  <si>
    <t>Sep-29</t>
  </si>
  <si>
    <t>Okt-29</t>
  </si>
  <si>
    <t>Nov-29</t>
  </si>
  <si>
    <t>Des-29</t>
  </si>
  <si>
    <t>VERIFIKASI</t>
  </si>
  <si>
    <t>89,60%</t>
  </si>
  <si>
    <t>dokumen komitmen</t>
  </si>
  <si>
    <t>33,77%</t>
  </si>
  <si>
    <t>MONITORING</t>
  </si>
  <si>
    <t>89,20%</t>
  </si>
  <si>
    <t>84,45%</t>
  </si>
  <si>
    <t>30,44%</t>
  </si>
  <si>
    <t>58,56%</t>
  </si>
  <si>
    <t>75,57%</t>
  </si>
  <si>
    <t>TBC</t>
  </si>
  <si>
    <t>Jasa Keamanan Operasi Cyber Security</t>
  </si>
  <si>
    <t>PROJECT NAME</t>
  </si>
  <si>
    <t>All Project</t>
  </si>
  <si>
    <t>CUSTOMER</t>
  </si>
  <si>
    <t>ALL CUSTOMER</t>
  </si>
  <si>
    <t>PERIODE</t>
  </si>
  <si>
    <t>ITEM BIAYA</t>
  </si>
  <si>
    <t>REALISASI BIAYA</t>
  </si>
  <si>
    <t>VENDOR</t>
  </si>
  <si>
    <t>SIFAT</t>
  </si>
  <si>
    <t>LINK EVIDENCE</t>
  </si>
  <si>
    <t>Kolom1</t>
  </si>
  <si>
    <t>https://pgascom.sharepoint.com/:f:/s/DMO2-PCRM/IgAtXwuElMa_S4ltRuIZ2mJTAeEOdK2ZKM055kdpTEpNhk8?e=KE5ciu</t>
  </si>
  <si>
    <t>Ulfa</t>
  </si>
  <si>
    <t>PERSADA</t>
  </si>
  <si>
    <t>MONTHLY</t>
  </si>
  <si>
    <t>TALI KASIH</t>
  </si>
  <si>
    <t>OTC</t>
  </si>
  <si>
    <t>THRK</t>
  </si>
  <si>
    <t>TUNJANGAN TIDAK TETAP</t>
  </si>
  <si>
    <t>LEMBUR</t>
  </si>
  <si>
    <t>EXAM</t>
  </si>
  <si>
    <t>SUPLISI</t>
  </si>
  <si>
    <t>WORKSHOP SIPGAS PERTAGAS</t>
  </si>
  <si>
    <t>PIKET LEBARAN</t>
  </si>
  <si>
    <t>ASURANSI MAPS</t>
  </si>
  <si>
    <t>TENAGA AHLI .NET DEVELOPER PROJECT E-KYC</t>
  </si>
  <si>
    <t>PT PRO SIGMAKA MANDIRI</t>
  </si>
  <si>
    <t>PENYEDIAAN ENGINEER ENDPOINT SECURITY</t>
  </si>
  <si>
    <t>BEIBI CEMERLANG INDONESIA</t>
  </si>
  <si>
    <t>CHYNTIA RAHMI LUBIS</t>
  </si>
  <si>
    <t>Upah</t>
  </si>
  <si>
    <t>Rahmania</t>
  </si>
  <si>
    <t>invoice.pdf</t>
  </si>
  <si>
    <t>Piket Hari Raya</t>
  </si>
  <si>
    <t>Realisasi Lembur</t>
  </si>
  <si>
    <t>Tali Kasih</t>
  </si>
  <si>
    <t>JDO</t>
  </si>
  <si>
    <t xml:space="preserve">Rekonsiliasi </t>
  </si>
  <si>
    <t xml:space="preserve"> PENGADAAN SEWA KENDARAAN OPERASIONAL MANAGED SERVICE (UNIT TETAP)</t>
  </si>
  <si>
    <t>Mekar Fauziah</t>
  </si>
  <si>
    <t>PT CSM CORPORATAMA</t>
  </si>
  <si>
    <t>LINK SCADA</t>
  </si>
  <si>
    <t>PT TELEKOMUNIKASI SELULAR</t>
  </si>
  <si>
    <t>IOT KREASI INDONESIA, PT</t>
  </si>
  <si>
    <t>https://pgascom-my.sharepoint.com/:b:/g/personal/mekar_fauziah_pgncom_co_id/IQD8d1UONWmzTJbvN_J79rJPAf7Qc30P62Z_tcFL5kjkpeY?e=ZcuCoe</t>
  </si>
  <si>
    <t>https://pgascom-my.sharepoint.com/:b:/g/personal/mekar_fauziah_pgncom_co_id/IQD4X-oKwuaVTLzpyBU9kuJRAagShqeCydFDJwJ-g9v6EeU?e=QD7rzW</t>
  </si>
  <si>
    <t>MPLS</t>
  </si>
  <si>
    <t>Masyita Mustika</t>
  </si>
  <si>
    <t>PT XLSMART TELECOM SEJAHTERA</t>
  </si>
  <si>
    <t>https://pgascom-my.sharepoint.com/:f:/g/personal/masyita_mustikas_pgncom_co_id/IgClWKoAX0wdS5bwglzlugoUAZbld4BdHJrkCiT_yvct96I?e=J7W8uE</t>
  </si>
  <si>
    <t xml:space="preserve">Masyita Mustika </t>
  </si>
  <si>
    <t>https://pgascom-my.sharepoint.com/:f:/g/personal/masyita_mustikas_pgncom_co_id/IgBa0DMa7USxTLdsyO4izZP5AaGCjm5L-4GsaK5kpWRRdQc?e=sWVZWd</t>
  </si>
  <si>
    <t>PT APLIKANUSA LINTAS ARTA</t>
  </si>
  <si>
    <t>https://pgascom-my.sharepoint.com/:b:/g/personal/masyita_mustikas_pgncom_co_id/IQDsLNksxFzpRoWdtRQf00XlAdoljDH7aEhWDtxEiKaiuDg?e=wddyuk</t>
  </si>
  <si>
    <t xml:space="preserve">LINK </t>
  </si>
  <si>
    <t>PT INDONESIA COMNET PLUS</t>
  </si>
  <si>
    <t>VSAT</t>
  </si>
  <si>
    <t>PT TELE NET</t>
  </si>
  <si>
    <t>SEWA PERANGKAT SISTEM RADIO KOMUNIKASI</t>
  </si>
  <si>
    <t>PT NEXCOM INDONESIA</t>
  </si>
  <si>
    <t>SIRKOM</t>
  </si>
  <si>
    <t>PT QUANTUM TERA NETWORK</t>
  </si>
  <si>
    <t>COMMAND &amp; CRISIS CENTER</t>
  </si>
  <si>
    <t>VPS DEDICATED</t>
  </si>
  <si>
    <t>IP PHONE 125 UNIT</t>
  </si>
  <si>
    <t>SEWA CORE PHE</t>
  </si>
  <si>
    <t>PSTN</t>
  </si>
  <si>
    <t>PT TELKOM INDONESIA (PERSERO)</t>
  </si>
  <si>
    <t>ISR</t>
  </si>
  <si>
    <t>KEMENTRIAN KOMUNIKASI DAN INFORMATIKA RI</t>
  </si>
  <si>
    <t>YEARLY</t>
  </si>
  <si>
    <t>PENGADAAN PENYEDIAAN PRISMA ACCESS ANNUAL SUBSCRIPTION</t>
  </si>
  <si>
    <t>PT SISINDOKOM LINTAS BUANA</t>
  </si>
  <si>
    <t>INV.pdf</t>
  </si>
  <si>
    <t>SEWA DAN MANAGED SERVICE PERANGKAT COMPUTER SERVER DAN SOFTWARE DEFINE STORAGE BATAM CIBITUNG</t>
  </si>
  <si>
    <t>PT BERCA HARDAYA PERKASA</t>
  </si>
  <si>
    <t>KUARTAL</t>
  </si>
  <si>
    <t>PT INTERNET PRATAMA INDONESIA</t>
  </si>
  <si>
    <t>QUARTAL</t>
  </si>
  <si>
    <t>SEWA KENDARAAN</t>
  </si>
  <si>
    <t>PERSEKOT</t>
  </si>
  <si>
    <t>SUKU CADANG</t>
  </si>
  <si>
    <t>KOMUNIKASI</t>
  </si>
  <si>
    <t xml:space="preserve">PERSEKOT </t>
  </si>
  <si>
    <t>MAKAN MINUM PEKERJA</t>
  </si>
  <si>
    <t>MOBILISASI DEMOBILISASI</t>
  </si>
  <si>
    <t>SPAREPART</t>
  </si>
  <si>
    <t>TRANSPORT LOKAL</t>
  </si>
  <si>
    <t>BAHAN BAKAR</t>
  </si>
  <si>
    <t>MATERIAL UMUM</t>
  </si>
  <si>
    <t>PENGIRIMAN DOKUMEN GEOVAP</t>
  </si>
  <si>
    <t>SO 573</t>
  </si>
  <si>
    <t>PT DCI INDONESIA TBK</t>
  </si>
  <si>
    <t>SO 458</t>
  </si>
  <si>
    <t>SO 026</t>
  </si>
  <si>
    <t>SO 452</t>
  </si>
  <si>
    <t>SO 010</t>
  </si>
  <si>
    <t>PT VADS INDONESIA</t>
  </si>
  <si>
    <t>MAINTENANCE &amp; TECHNICAL SUPORT</t>
  </si>
  <si>
    <t>GEOVAP.SPOL.SR.O.</t>
  </si>
  <si>
    <t>Sewa Perangkat</t>
  </si>
  <si>
    <t>BERCA HARDAYAPERKASA, PT</t>
  </si>
  <si>
    <t>https://pgascom-my.sharepoint.com/:b:/g/personal/mekar_fauziah_pgncom_co_id/IQBfFWqxinMYSL3xHTZ7Gre6ARkx2W3UCkpkOqJ6ukfdlkE?e=rJzJVb</t>
  </si>
  <si>
    <t>PEKERJAAN SEWA DAN MANAGED SERVICE PERANGKAT MULTIMEDIA DI PERTAMINA GAS</t>
  </si>
  <si>
    <t>TELKOM INDONESIA (PERSERO) TBK, PT</t>
  </si>
  <si>
    <t>PENGADAAN SEWA &amp; MANAGED SERVICE PERANGKAT MULTIMEDIA INTEGRATED MONITORING CENTER (IMOC) DI PT PERUSAHAAN GAS NEGARA TBK, JANUARI - MARET 2026</t>
  </si>
  <si>
    <t>Sewa Radio</t>
  </si>
  <si>
    <t>PT JASNIKOM GEMANUSA</t>
  </si>
  <si>
    <t>https://pgascom-my.sharepoint.com/:b:/g/personal/mekar_fauziah_pgncom_co_id/IQBBf-wG2m5TSLxzfraS2af7AYtiOOJuphvX6D-A7QMrY9s?e=LQUZlB</t>
  </si>
  <si>
    <t>https://pgascom-my.sharepoint.com/:b:/g/personal/mekar_fauziah_pgncom_co_id/IQCjnqPJglTgR60wShbZv3XiASs6UjFUZ1T7XPjamOkUrTc?e=qcBcMA</t>
  </si>
  <si>
    <t>https://pgascom-my.sharepoint.com/:b:/g/personal/mekar_fauziah_pgncom_co_id/IQAYdlEyjTNlTpbD3FqzZSGyATqlQHJTbYuJcBKtd2vKnJo?e=FNfRbw</t>
  </si>
  <si>
    <t>Pemakaian kartu</t>
  </si>
  <si>
    <t xml:space="preserve">Crost Connect Telkom-IDC Lt.7 Cyber </t>
  </si>
  <si>
    <t>IN PROGRES</t>
  </si>
  <si>
    <t>IDC CYBER LT.7</t>
  </si>
  <si>
    <t>GSM</t>
  </si>
  <si>
    <t>Absen Online</t>
  </si>
  <si>
    <t>PT BIMA SAKTI ALTERRA</t>
  </si>
  <si>
    <t>PENTEST READ TEAM</t>
  </si>
  <si>
    <t xml:space="preserve">PT CYBERTECH SOLUSINDO </t>
  </si>
  <si>
    <t>PENGADAAN SWITCH TRANSMISI</t>
  </si>
  <si>
    <t>PT ANNICON LINTAS TEKNOLOGI</t>
  </si>
  <si>
    <t>https://pgascom-my.sharepoint.com/:f:/g/personal/masyita_mustikas_pgncom_co_id/IgCYqjc8BWRwS6Iw4V53446ZAR1ARzXGU-fz1_rOruH-CLY?e=6i8Sit</t>
  </si>
  <si>
    <t>PENGADAAN SPARE PART PMD REGION III</t>
  </si>
  <si>
    <t>CV JINGGA ASSA PRASADA</t>
  </si>
  <si>
    <t>PENGADAAN SSL CERTIFICATE DIGICERT PGN.CO.ID</t>
  </si>
  <si>
    <t>PT TRIMITRA DIGITAL INFORMATIKA</t>
  </si>
  <si>
    <t>PENGADAAN SSL CERTIFICATE DIGICERT PGAS.ID</t>
  </si>
  <si>
    <t>SEWA LAYANAN PERANGKAT MULTIMEDIA BALLROOM DAN MINI GALLERY PT PERTAMINA INTENASIONAL SHIPPING PERIODE 28 JAN - 27 FEB 2026</t>
  </si>
  <si>
    <t>PEKERJAAN PENGEMBANGAN DAN MAINTENANCE ANAPLAN APPLICATION TAHAP 2 (10%)</t>
  </si>
  <si>
    <t>PT METRODATA ELECTRONICS TBK</t>
  </si>
  <si>
    <t>USD  1.175,29</t>
  </si>
  <si>
    <t>MASIH MENUNGGU INFO NILAI KONVERSI KE RUPAIH DARI TIM ACCOUNTING PADA SAAT DIBAYAR</t>
  </si>
  <si>
    <t>PENGADAAN JASA DISMANTLE SISTEM RADIO KOMUNIKASI NUSANTARA REGAS, 308.B.1-3, (MS-020)</t>
  </si>
  <si>
    <t>CV CYBERCOM INDAH MANDIRI</t>
  </si>
  <si>
    <t>PENGADAAN PERANGKAT MONITORING SISTEM INFORMASI PENYALURAN GAS (PS-024-00) (EB-227 A.2)</t>
  </si>
  <si>
    <t>PENGADAAN PERANGKAT MULTIMEDIA SECURITY SERVICE OPERATION</t>
  </si>
  <si>
    <t>SUGIHARTO TECHNOLOGY SOLUSINDO</t>
  </si>
  <si>
    <t>PENGADAAN LEC TRANSMISI</t>
  </si>
  <si>
    <t>PENGADAAN PENYEDIAAN TEAMVIEWER ANNUAL SUBSCRIPTION</t>
  </si>
  <si>
    <t>PT SYNNEX METRODATA INDONESIA</t>
  </si>
  <si>
    <t>LINK DRC DAN SMARTHAND</t>
  </si>
  <si>
    <t>PT INDOSAT TBK</t>
  </si>
  <si>
    <t>PEKERJAAN PENTEST DAN RED TEAM ASSESSMENT, WORK ORDER PENETRATIO TEST APLIKASI FRIMS, APLIKASI RECRUITMENT PERTAMINA REST OBJECT &amp; INTEGRATION (API)</t>
  </si>
  <si>
    <t>PEKERJAAN PENTEST DAN RED TEAM ASSESSMENT, WORK ORDER PENETRATIO TEST APLIKASI MYPERTALIFE, DTM DAN VERIFIKASI PKBL, RECRUITMENT PERTAMINA, SHARED SERVICE, OIL CLINIC, SMART BUNKER, SPONSORSHIP, CSATWHATSAPP,</t>
  </si>
  <si>
    <t>PENGADAAN SPARE PART PMD SOR I (PADI), (323.M.3), (PS-024-00)</t>
  </si>
  <si>
    <t>LAYANAN SMARTPRESENCE &amp; SMARTPRESENCE PAYROLL</t>
  </si>
  <si>
    <t>baru aktivasi per maret 2026</t>
  </si>
  <si>
    <t>PENYEDIAAN QRADAR ANNUAL SUBSCRIPTION</t>
  </si>
  <si>
    <t>PT XSYS SOLUSI CEMERLANG</t>
  </si>
  <si>
    <t xml:space="preserve"> PENGADAAN SEWA KENDARAAN OPERASIONAL MANAGED SERVICE, MEI 2026, (UNIT TETAP)</t>
  </si>
  <si>
    <t>PENGADAAN SPAREPART FAST MOVING NETWORK</t>
  </si>
  <si>
    <t>PT BHINNEKA MENTARIDIMENSI</t>
  </si>
  <si>
    <t>PENGADAAN CISCO ANNUAL SUBSCRIPTION 2026 TERMIN I (100%)</t>
  </si>
  <si>
    <t>PT WESTCON INTERNATIONAL INDONESIA</t>
  </si>
  <si>
    <t>PENGADAAN CISCO ANNUAL SUBSCRIPTION 2026 TERMIN II (100%)</t>
  </si>
  <si>
    <t>PENGADAAN PENYEDIAAN ENDPOINT CENTRAL DAN OPMANAGER ANNUAL SUBSCRIPTION</t>
  </si>
  <si>
    <t>PT PRODATA SISTEM TEKNOLOGI</t>
  </si>
  <si>
    <t>PENGADAAN SPAREPART SIEMENS TBB</t>
  </si>
  <si>
    <t xml:space="preserve">PT SIEMENS INDONESIA </t>
  </si>
  <si>
    <t xml:space="preserve">PEKERJAAN MANAGED SERVICE CYBER SECURITY 2026 </t>
  </si>
  <si>
    <t>PT CYNNEX INTEGRASI SOLUSI</t>
  </si>
  <si>
    <t>PEKERJAAN MANAGED SERVICE OT SECURITY 2026</t>
  </si>
  <si>
    <t>PENGADAAN PENYEDIAAN JASA PEMASANGAN MEMORY SERVER SEWA TEKNOLOGI INFORMASI</t>
  </si>
  <si>
    <t>PENGADAAN PENAMBAHAN SENSOR PRTG NETWORK MONITORING 2500 SENSOR</t>
  </si>
  <si>
    <t>PT DAYA CIPTA MANDIRI MONITORING</t>
  </si>
  <si>
    <t>TERMIN</t>
  </si>
  <si>
    <t>PENGADAAN PERANGKAT VICON (PADI)</t>
  </si>
  <si>
    <t>PT ALFA CIPTA TEKNOLOGI VIRTUAL</t>
  </si>
  <si>
    <t>SEWA LAYANAN PERANGKAT MULTIMEDIA BALLROOM DAN MINI GALLERY PT PERTAMINA INTENASIONAL SHIPPING</t>
  </si>
  <si>
    <t>PENGADAAN SEWA &amp; MANAGED SERVICE PERANGKAT MULTIMEDIA INTEGRATED MONITORING CENTER (IMOC) DI PT PERUSAHAAN GAS NEGARA TBK</t>
  </si>
  <si>
    <t>mONTHLY</t>
  </si>
  <si>
    <t>USD  1.175,20</t>
  </si>
  <si>
    <t>USD  1.156,45</t>
  </si>
  <si>
    <t>LAYANAN NB IOT</t>
  </si>
  <si>
    <t xml:space="preserve">MS IP Phone </t>
  </si>
  <si>
    <t>PT DIGITAL APLIKASI SOLUSI</t>
  </si>
  <si>
    <t>PENGADAAN KEBUTUHAN MONITOR ICT</t>
  </si>
  <si>
    <t>IaaS BaaS</t>
  </si>
  <si>
    <t>Pekerjaan Akuisisi Data Pressure Monitoring Device Area batam</t>
  </si>
  <si>
    <t>Pengadaan Pressure Transmitter</t>
  </si>
  <si>
    <t>MATERIAL</t>
  </si>
  <si>
    <t>Novita Anggraini</t>
  </si>
  <si>
    <t>PT AZBIL BERCA INDONESIA</t>
  </si>
  <si>
    <t>MRC</t>
  </si>
  <si>
    <t>PT Cyberchain Crypto International</t>
  </si>
  <si>
    <t>Swakelola Pekerjaan Instalasi Jaringan CCTV di Tower FT Labuhan Deli PT Pertamina Patra Niaga (PEMBELIAN MATERIAL DAN ACCESSORIES)</t>
  </si>
  <si>
    <t>LICENSE (PEMBELIAN MATERIAL DAN ACCESSORIES)</t>
  </si>
  <si>
    <t>Swakelola Pekerjaan Instalasi Jaringan CCTV di Tower FT Labuhan Deli PT Pertamina Patra Niaga (SERVICE)</t>
  </si>
  <si>
    <t>SERVICE</t>
  </si>
  <si>
    <t>PHASE 1 (IMPLEMENTASI)</t>
  </si>
  <si>
    <t>PT Indopoleon Technology</t>
  </si>
  <si>
    <t>PHASE 2 (IMPLEMENTASI)</t>
  </si>
  <si>
    <t>PHASE 3 (IMPLEMENTASI)</t>
  </si>
  <si>
    <t>PENGADAAN FIREWALL FORTIGATE-G50</t>
  </si>
  <si>
    <t>PT ANANTA MULTITECH INTERNUSA</t>
  </si>
  <si>
    <t>PT MOSFET INTERLOCK INDONESIA</t>
  </si>
  <si>
    <t xml:space="preserve">TAHAP 1- JASA INSTALASI IBM Q RADAR </t>
  </si>
  <si>
    <t xml:space="preserve">TAHAP II - JASA INSTALASI IBM Q RADAR </t>
  </si>
  <si>
    <t xml:space="preserve">Pengadaan Implementasi Security Operation Center (SOC) di Kantor Pusat Wisma Tugu II </t>
  </si>
  <si>
    <t xml:space="preserve">TRAINING - JASA INSTALASI IBM Q RADAR </t>
  </si>
  <si>
    <t>PENYEDIAAN ANNUAL TECHNICAL SUPPORT ELO ECM - PT SUPREME ENERGY</t>
  </si>
  <si>
    <t>IMPLEMENTASI</t>
  </si>
  <si>
    <t>PT ELO DIGITAL OFFICE INDONESIA</t>
  </si>
  <si>
    <t>LICENSE PALOALTO</t>
  </si>
  <si>
    <t>PT PACKET SYSTEMS INDONESIA</t>
  </si>
  <si>
    <t>TOKEN</t>
  </si>
  <si>
    <t>CV SINERGI INDOMEDIKA PERKASA</t>
  </si>
  <si>
    <t>TERMIN I - PENGADAAN HT POC HYTERA PT NIPPON SHOKUBAI</t>
  </si>
  <si>
    <t>PT TEKNOLOGI TIMUR INDONESIA</t>
  </si>
  <si>
    <t>TERMIN II - PENGADAAN HT POC HYTERA PT NIPPON SHOKUBAI</t>
  </si>
  <si>
    <t>Pengadaan Gateway BN100 Hytera PT Nippon Shokubai</t>
  </si>
  <si>
    <t>PEMBELIAN MATERIAL UTAMA</t>
  </si>
  <si>
    <t>PEMBELIAN GENERAL MATERIAL</t>
  </si>
  <si>
    <t>JASA KONFIGURASI DAN INTEGRASI</t>
  </si>
  <si>
    <t>LAYANAN PENGEMBANGAN PROJECT DEVELOPMENT DAN PLATFORM INTEGRASI PT PERUSAHAAN GAS NEGARA TBK. TAHUN 2026</t>
  </si>
  <si>
    <t>PT Kairos Utama Indonesia</t>
  </si>
  <si>
    <t>JASA ENHANCEMENT APLIKASI E-SMS PT PERUSAHAAN GAS NEGARA TBK.TAHUN 2026</t>
  </si>
  <si>
    <t>JASA</t>
  </si>
  <si>
    <t>SDR. TAUFAN LAI</t>
  </si>
  <si>
    <t>ALAT KERJA</t>
  </si>
  <si>
    <t>PEKERJAAN BER TEST DC KEMENDAGRI : 05 - 07 MEI 2026</t>
  </si>
  <si>
    <t>SWAKELOLA</t>
  </si>
  <si>
    <t>DATACOM</t>
  </si>
  <si>
    <t>JASA TAHAP I</t>
  </si>
  <si>
    <t>PT CYBERTECH SOLUSINDO</t>
  </si>
  <si>
    <t>JASA TAHAP II</t>
  </si>
  <si>
    <t>PENGADAAN IBM QRADAR</t>
  </si>
  <si>
    <t>PT SINERGI WAHANA GEMILANG</t>
  </si>
  <si>
    <t>INVOICE PENGADAAN IBM QRADAR PT PERTAMINA PATRA NIAGA (100%)</t>
  </si>
  <si>
    <t>IMPLEMENTASI MULTIMEDIA DAN RENOVASI RUANG SOC TERMIN I</t>
  </si>
  <si>
    <t>PT STARVA ERA DIGITAL</t>
  </si>
  <si>
    <t>INVOICE PENGADAAN MULTIMEDIA DAN RENOVASI RUANG SOC PT PERTAMINA PATRA NIAGA TERMIN I (40%)</t>
  </si>
  <si>
    <t>IMPLEMENTASI MULTIMEDIA DAN RENOVASI RUANG SOC TERMIN II</t>
  </si>
  <si>
    <t>INVOICE PENGADAAN MULTIMEDIA DAN RENOVASI RUANG SOC PT PERTAMINA PATRA NIAGA TERMIN II (55%)</t>
  </si>
  <si>
    <t>IMPLEMENTASI MULTIMEDIA DAN RENOVASI RUANG SOC TERMIN III</t>
  </si>
  <si>
    <t xml:space="preserve">MATERIAL GATEWAY BN-100 HYTERA </t>
  </si>
  <si>
    <t>PEKERJAAN JASA PENDAMPINGAN SURVEILLANCE SERTIFIKASI ISO/IEC 27001:2022 DI PT KPI TERMIN I (30%) 2025</t>
  </si>
  <si>
    <t>PT ANUGRAH REKATAMA CIPTA SOLUSI</t>
  </si>
  <si>
    <t>PEKERJAAN JASA PENDAMPINGAN SURVEILLANCE SERTIFIKASI ISO/IEC 27001:2022 DI PT KPI TERMIN II (30%)</t>
  </si>
  <si>
    <t>PEKERJAAN JASA PENDAMPINGAN SURVEILLANCE SERTIFIKASI ISO/IEC 27001:2022 DI PT KPI TERMIN III (40%)</t>
  </si>
  <si>
    <t>JASA WO I</t>
  </si>
  <si>
    <t>PT IMAN TEKNOLOGI INFORMASI</t>
  </si>
  <si>
    <t>JASA WO II</t>
  </si>
  <si>
    <t>JASA WO III</t>
  </si>
  <si>
    <t>SPPD RAKOR PALEMBANG</t>
  </si>
  <si>
    <t>PAC DC UNILA</t>
  </si>
  <si>
    <t>PEMELIHARAAN PAC UNIVERSITAS LAMPUNG</t>
  </si>
  <si>
    <t>PT QUANTA TEKNIK GEMILANG</t>
  </si>
  <si>
    <t>TENAGA AHLI NET DEVELOPER</t>
  </si>
  <si>
    <t>Material INSTALASI, KONFIGURASI, DAN MIGRASI SOC, SIEM, PAM DAN CTI</t>
  </si>
  <si>
    <t xml:space="preserve">SPPD TRAINING KONFIGURASI SIEM &amp; SOC </t>
  </si>
  <si>
    <t>RKAP INFRA (WO 1)</t>
  </si>
  <si>
    <t>PT DATA LOKA NUSANTARA</t>
  </si>
  <si>
    <t>JASA WO IV</t>
  </si>
  <si>
    <t>JASA WO V</t>
  </si>
  <si>
    <t>JASA WO VI</t>
  </si>
  <si>
    <t>SPPD WORKSHOP DAN TRAINING</t>
  </si>
  <si>
    <t>Pekerjaan Maintenance CCTV &amp; Infrastruktur Pertamina Patra Niaga/MOR-1 Fuel Terminal Labuhan Deli Termin I</t>
  </si>
  <si>
    <t xml:space="preserve">DESEMBER </t>
  </si>
  <si>
    <t>PT PRIMA INDO SENTOSA</t>
  </si>
  <si>
    <t>Pekerjaan Maintenance CCTV &amp; Infrastruktur Pertamina Patra Niaga/MOR-1 Fuel Terminal Labuhan Deli Termin II</t>
  </si>
  <si>
    <t>PENGADAAN JASA KEAMANAN OPERASI CYBER SECURITY DI PT PERTAMINA PATRA NIAGA</t>
  </si>
  <si>
    <t>WO - Layanan Berdasarkan Permintaan - Membuatkan/review kajian terkait cyber security</t>
  </si>
  <si>
    <t>WO - Penetration Testing Aplikasi MyPertamina for Business (Mobile Api)</t>
  </si>
  <si>
    <t>Rakor</t>
  </si>
  <si>
    <t>Riza Kurniawati</t>
  </si>
  <si>
    <t>Persekot Rakor ke-1 Tahun 2026</t>
  </si>
  <si>
    <t>PERSEKOT RAPAT KOORDINASI PJOPTGSM KE-1 TAHUN 2026 DI JAKARTA (23-25 FEBRUARI 2026)</t>
  </si>
  <si>
    <t>Persekot Rakor ke-2 Tahun 2026</t>
  </si>
  <si>
    <t>PERSEKOT RAPAT KOORDINASI PJOPTGSM KE-2 TAHUN 2026 DI ANYER CILEGON (3-5 JUNI 2026)</t>
  </si>
  <si>
    <t>SPPD Rakor ke-2 Tahun 2026 Sales Organik</t>
  </si>
  <si>
    <t>SPPD RAPAT KOORDINASI PJOPTGSM KE-2 TAHUN 2026 DI ANYER CILEGON (3-5 JUNI 2026)</t>
  </si>
  <si>
    <t>SPPD Rakor ke-2 Tahun 2026 Sales TAD</t>
  </si>
  <si>
    <t>Persekot Rakor</t>
  </si>
  <si>
    <t>RAKOR SIRKOM Ke-4 Tahun 2025 (12 Februari 2026)</t>
  </si>
  <si>
    <t>SPPD Rakor TAD Sales</t>
  </si>
  <si>
    <t xml:space="preserve">Persekot Rakor ke-1 Tahun 2026 </t>
  </si>
  <si>
    <t>Rakor Sirkom ke 1 tahun 2026 (19 Juni 2026)</t>
  </si>
  <si>
    <t>SPPD TAD Rakor Ke-1 Tahun 2026 (belum termasuk biaya hotel)</t>
  </si>
  <si>
    <t>SPPD Rakor Sirkom ke-1 Tahun 2026 (19 Juni 2026)</t>
  </si>
  <si>
    <t>SPPD Organik Rakor Ke-1 Tahun 2026 (belum termasuk biaya Tiket pesawat dan hotel)</t>
  </si>
  <si>
    <t>RAKOR KE 3 PEKERJAAN OTS &amp; ORF PLI PERIODE OKTOBER - DESEMBER 2025 DI JAKARTA (29 JANUARI 2026)</t>
  </si>
  <si>
    <t>PERSEKOT RAPAT KOORDINASI KE 3 PEKERJAAN OTS &amp; ORF PLI PERIODE OKTOBER - DESEMBER 2025 DI JAKARTA (29 JANUARI 2026)</t>
  </si>
  <si>
    <t>SPPD ORGANIK TRAINING KONFIGURASI SIEM &amp; SOC</t>
  </si>
  <si>
    <t>SPPD UNDANGAN TRAINING KONFIGURASI SIEM &amp; SOC PT PERTAMINA PATRA NIAGA (8 - 12 JUNI 2026) DI JOGJA</t>
  </si>
  <si>
    <t>SPPD TAD TRAINING KONFIGURASI SIEM &amp; SOC</t>
  </si>
  <si>
    <t>https://pgascom.sharepoint.com/:b:/s/DMO2-PCRM/IQDR4o5mcI9cQ4qQAzN0lAYXAeMhH7iEN067ifJ1MKhofFA?e=UDnugS</t>
  </si>
  <si>
    <t>https://pgascom.sharepoint.com/:b:/s/DMO2-PCRM/IQClNeqznP4bQ5QroE3-v96KAUuPDlVcFnrlX-rS6CPv2e4?e=aSsfag</t>
  </si>
  <si>
    <t>https://pgascom-my.sharepoint.com/:b:/g/personal/mekar_fauziah_pgncom_co_id/IQDEohfspTNLQ4xYRgFUHgE6AR76uStep8a2TGFZM7DcfjU?e=dOiYCy</t>
  </si>
  <si>
    <t>https://pgascom-my.sharepoint.com/:b:/g/personal/mekar_fauziah_pgncom_co_id/IQBTkAFn43aRQpRX9D1N1xeZASuPgntKGI1N0qxwo7pdi1o?e=TJBNSR</t>
  </si>
  <si>
    <t>https://pgascom-my.sharepoint.com/:b:/g/personal/mekar_fauziah_pgncom_co_id/IQBwxL6wbALQT57bBq90Tk9MAVHVGU7i6EAdQj69RCICQrE?e=AH8gCT</t>
  </si>
  <si>
    <t>June</t>
  </si>
  <si>
    <t>Juli</t>
  </si>
  <si>
    <t>Project implementasi, perlu direview</t>
  </si>
  <si>
    <t>Year</t>
  </si>
  <si>
    <t>Status</t>
  </si>
  <si>
    <t xml:space="preserve">Service Manager </t>
  </si>
  <si>
    <t>Project clasification</t>
  </si>
  <si>
    <t>Contract Number</t>
  </si>
  <si>
    <t>Category Contract</t>
  </si>
  <si>
    <t>Date of Contract</t>
  </si>
  <si>
    <t>Start Date</t>
  </si>
  <si>
    <t>End Date</t>
  </si>
  <si>
    <t>Project_Value</t>
  </si>
  <si>
    <t>Costbased</t>
  </si>
  <si>
    <t xml:space="preserve">Actual Cost konfirmasi </t>
  </si>
  <si>
    <t>Actual cost (admin)</t>
  </si>
  <si>
    <t>Persentase</t>
  </si>
  <si>
    <t>PT Transportasi Gas Indonesia</t>
  </si>
  <si>
    <t>1SVC-043866</t>
  </si>
  <si>
    <t>Kontrak Tunggal</t>
  </si>
  <si>
    <t>Amandemen 1 1SVC-043946; 
Amandemen II 1SVC-044712</t>
  </si>
  <si>
    <t>Implementasi Identity Provide (IPA) for Server Dalam Lingkup Pekerjaan MSTI PGN Tahun 2026</t>
  </si>
  <si>
    <t>Jasa Interfacing Data SCADA ke Aplikasi GAS Management System (GMS)</t>
  </si>
  <si>
    <t>Jasa Pemeliharaan Aplikasi HSSE Online System and Indicator Performance Center (HOLISTIC)</t>
  </si>
  <si>
    <t>Jasa Pengelolaan Dashboard PSAIMS &amp; HSSE Frontliner System</t>
  </si>
  <si>
    <t>PEKERJAAN INSTALASI RADIO MICROWAVE ADDITIONAL PHE NSO</t>
  </si>
  <si>
    <t>Pekerjaan Interfacing Data Scada Ke Aplikasi GMS PT Nusantara Regas</t>
  </si>
  <si>
    <t>Pekerjaan Pengelolaan Limbah B3 Baterai PJOPTGMS – PGN GSOR III</t>
  </si>
  <si>
    <t>Delivery Pekerjaan Jasa Maintenance Perbaikan 5 Unit Perangkat Disk Network Attached Storage (NAS) RU5 Balikpapan KPI</t>
  </si>
  <si>
    <t>FID Perbaikan dan Relokasi kabel RO Bekasi, Jakarta dan Batam</t>
  </si>
  <si>
    <t>Geospatial Update Licensing Information System</t>
  </si>
  <si>
    <t>INSTALASI RADIO MICROWAVE POINT TO POINT AGPF JADESTONE ENERGY – PGNCOM KUALA TUNGKAL</t>
  </si>
  <si>
    <t>JASA MANAGED SERVICE APLIKASI PENGELOLAAN PIUTANG (MODUL RESTRUKTURISASI PIUTANG &amp;  ENGENDALIAN PEMAKAIAN GAS)</t>
  </si>
  <si>
    <t>JASA PENDAMPINGAN RISK ASSESSMENT OPERATIONAL TECHNOLOGY (OT)</t>
  </si>
  <si>
    <t>Layanan Site Telekomunikasi Site - ONWJ (PAPA - MGB)</t>
  </si>
  <si>
    <t>Pekerjaan Backup Power Genset &amp; Kelistrikan POP Labuan Maringgai</t>
  </si>
  <si>
    <t>Pekerjaan Maintenance Tower Fuel Terminal Dumai</t>
  </si>
  <si>
    <t>Pekerjaan Maintenance Tower Fuel Terminal Sei Siak</t>
  </si>
  <si>
    <t xml:space="preserve">Pekerjaan Pemasangan Pressure Monitoring Device PLN Sekupang dan PLN Batu Ampar Batam </t>
  </si>
  <si>
    <t>Pekerjaan Pembangunan Sistem DWDM Jakarta Singapore</t>
  </si>
  <si>
    <t>Pekerjaan Pengadaan Penyediaan ATS &amp; Lisensi SIEM PT Pertamina (Persero)</t>
  </si>
  <si>
    <t>Pekerjaan Penyediaan Aplikasi Performance And Competency Management</t>
  </si>
  <si>
    <t>Pekerjaan Perbaikan PAC Data Center Universitas Lampung</t>
  </si>
  <si>
    <t>Pekerjaan Perbaikan Switch Hub Untuk Komunikasi HMI Stasiun Bojonegara 2025</t>
  </si>
  <si>
    <t>Pekerjaan Perbaikan Utilitas Fiber Optik 3 Span RO Palembang Segment Backbone 24 Core POP Pagardewa - POP Grissik PGNCOM 2025</t>
  </si>
  <si>
    <t>Pekerjaan Perbaikan Utilitas Fiber Optik 6 Span Segment Backbone 96 Core HH BWI 33 - POP Bitung PGNCOM 2025</t>
  </si>
  <si>
    <t>Pekerjaan Replacement UPS Rumah Scada</t>
  </si>
  <si>
    <t>Pekerjaan Upgrade Server Digio Production</t>
  </si>
  <si>
    <t>Pekerjaan Upgrading Control Timer &amp; Power Management System PMD 2025</t>
  </si>
  <si>
    <t>Pelaksanaan Pekerjaan Amandemen II Kontrak Sewa Perangkat Infrastruktur Teknologi Informasi</t>
  </si>
  <si>
    <t>Pembangunan Jaringan Fiber Optik HH Ext Metro TV - Jl. Sinabung ( Jakarta ) 2025</t>
  </si>
  <si>
    <t>Pembangunan Jaringan Fiber Optik Jl. HBR Motik - Jl. Alang-Alang Lebar (Palembang)</t>
  </si>
  <si>
    <t>Pembangunan Jaringan Fiber Optik PGN Cikande- MCS Bitung 2024</t>
  </si>
  <si>
    <t>Pembangunan Jaringan FO Klari - Cikampek Selatan 2025</t>
  </si>
  <si>
    <t>Pembangunan Jaringan Lastmile Ext PGNCOM HH Hangnadim - Nongsa Digital Park (BATAM) 2024</t>
  </si>
  <si>
    <t>Pembangunan Jaringan Lastmile PT Akzonobel Car Refinishes Indonesia Kawasan JIEP Pulogadug (Under Kontrak Indosat) 2024</t>
  </si>
  <si>
    <t>Pembangunan Jaringan MCS Bitung - Daan Mogot  (Tangerang) 2024</t>
  </si>
  <si>
    <t>Pengadaan &amp; Pemasangan Pressure Monitoring Devices Batang</t>
  </si>
  <si>
    <t>Pengadaan dan Penyediaan Workstation PC Untuk As Build 3D Rendering</t>
  </si>
  <si>
    <t>Pengadaan Layanan IP Transit International</t>
  </si>
  <si>
    <t xml:space="preserve">Pengadaan Pekerjaan - Upgrade Sistem Firewall </t>
  </si>
  <si>
    <t>Pengadaan Perangkat Distribusi Karawang Berbasis SRv6</t>
  </si>
  <si>
    <t>Pengadaan Perangkat Rectifier dan UPS System Pada Sistem DWDM Baru</t>
  </si>
  <si>
    <t>Perbaikan dan Relokasi kabel RO Bekasi, Jakarta dan Batam</t>
  </si>
  <si>
    <t>Perbaikan Kabel Eksisting FO Kalianda - LBM</t>
  </si>
  <si>
    <t>Perbaikan Utilitas FO 6 SPAN SEGMENT BACKBONE 48 CORE BJN - HH BWI PGNCOM 2025</t>
  </si>
  <si>
    <t>Relokasi FO POP Jambi - POP Sakernan KF7.2 dan Jambi - Grissik KF 5.0</t>
  </si>
  <si>
    <t>Relokasi Jaringan Fiber Optik Daan Mogot - Pesing (Jakarta) 2025</t>
  </si>
  <si>
    <t>Relokasi Jaringan Fiber Optik Jl. Raya Palembang Jambi KM17 (Jambi) 2025</t>
  </si>
  <si>
    <t>Upgrade Metro Ethernet Jakarta-Singapura 2025</t>
  </si>
  <si>
    <t>Skema</t>
  </si>
  <si>
    <t>Resource Management</t>
  </si>
  <si>
    <t>TITA</t>
  </si>
  <si>
    <t>Back2Back</t>
  </si>
  <si>
    <t>Pengadaan Sewa Aplikasi Absensi Online (Bimasakti) 80 user</t>
  </si>
  <si>
    <t>034102.SPK/LG.01/GEI-32/2025</t>
  </si>
  <si>
    <t xml:space="preserve">SANDI </t>
  </si>
  <si>
    <t>00500.PKS/HK/PGNCOM/IV/2025</t>
  </si>
  <si>
    <t>Inhouse</t>
  </si>
  <si>
    <t xml:space="preserve">TAUFAN </t>
  </si>
  <si>
    <t>004/NR/B000/P/2023</t>
  </si>
  <si>
    <t>Adendum I (1 April 2025)</t>
  </si>
  <si>
    <t>1. Awal : 355.584.000
2. Perpanjangan-1 : 336.120.000
3. Perpanjangan-2 : 295.440.000</t>
  </si>
  <si>
    <t xml:space="preserve">GILANG </t>
  </si>
  <si>
    <t>BA-55/I40520/2025-S0 (Amandemen) 14 Juli 2025</t>
  </si>
  <si>
    <t>WO</t>
  </si>
  <si>
    <t>004200.PK/LG.01/ICT/ 2025</t>
  </si>
  <si>
    <t>kontrak Induk</t>
  </si>
  <si>
    <t>72,84%</t>
  </si>
  <si>
    <t>VSO-2025-11-24-118411264/470012416</t>
  </si>
  <si>
    <t>VSO-2026-01-08-043538948; VSO-2026-01-08-721977675</t>
  </si>
  <si>
    <t>25000226-OS-10101</t>
  </si>
  <si>
    <t>25000109-OS-10103</t>
  </si>
  <si>
    <t>ESA</t>
  </si>
  <si>
    <t>080/ESTRADA/WO/IV/2026</t>
  </si>
  <si>
    <t>SP-02/KPI72200/2025-SO 3950463946</t>
  </si>
  <si>
    <t>RIZKY</t>
  </si>
  <si>
    <t>-</t>
  </si>
  <si>
    <t>Tidak ada PO. Pakai Surat penawaran. Beli putus</t>
  </si>
  <si>
    <t>Amandemen I No 3900524630 - A1 15 Mei 2023
Amandemen II No 3900524630 - A2 30 November 2023</t>
  </si>
  <si>
    <t>Amandemen I No 3900524630 - A1 15 Mei 2023
Amandemen II No 3900524630 - A2 30 November 2023
Amandemen III 3900524630 - A3 3 September 2024</t>
  </si>
  <si>
    <t>Amandemen I No 3900524630 - A1 15 Mei 2023
Amandemen II No 3900524630 - A2 30 November 2023
Amandemen III 3900524630 - A3 3 September 2024
Amandemen IV 3900524630 - A4 8 Juni 2026</t>
  </si>
  <si>
    <t>064900.S/LG.01.01/HCGA-WMN/2024</t>
  </si>
  <si>
    <t>068500.SPK/LG.01.01/HCGA-WMN/2024</t>
  </si>
  <si>
    <t>00354.SPK-LG.01-KJG-2025</t>
  </si>
  <si>
    <t xml:space="preserve">YIYIP </t>
  </si>
  <si>
    <t xml:space="preserve">000100.Prn/LG.01/MSB/PGAS/VIII/2024 </t>
  </si>
  <si>
    <t>270/VIII/YKPP Gas Negara/2025</t>
  </si>
  <si>
    <t>JODY</t>
  </si>
  <si>
    <t>044300.PK/LG.01/LGL/2025</t>
  </si>
  <si>
    <t>027/NR/C200/P/2025</t>
  </si>
  <si>
    <t>3950458034</t>
  </si>
  <si>
    <t>032200.PK/LG.01/ICT/2025</t>
  </si>
  <si>
    <t>YIYIP-RIZKY</t>
  </si>
  <si>
    <t>1,11%</t>
  </si>
  <si>
    <t>46000000735</t>
  </si>
  <si>
    <t>4600000000891 (AMANDEMEN) 
15 Oktober 2024</t>
  </si>
  <si>
    <t>71,19%</t>
  </si>
  <si>
    <t>TAUFAN</t>
  </si>
  <si>
    <t>YIYIP</t>
  </si>
  <si>
    <t xml:space="preserve">MASA PEMELIHARAAN </t>
  </si>
  <si>
    <t>083400.PK/PP.04/SCSM/2025</t>
  </si>
  <si>
    <t>019700.PK/LG.01.01/GLM/2023</t>
  </si>
  <si>
    <t>MRC+WO</t>
  </si>
  <si>
    <t xml:space="preserve"> 004200.PK/LG.01/ICT/2026</t>
  </si>
  <si>
    <t xml:space="preserve">TBC CHNYTIA + SIGIT </t>
  </si>
  <si>
    <t>028000.PK/LG.01/ICT/2024</t>
  </si>
  <si>
    <t xml:space="preserve">003800.PK/LG.01/ICT/2026 </t>
  </si>
  <si>
    <t>004400.PK/LG.01/ICT/2026</t>
  </si>
  <si>
    <t xml:space="preserve">TBC </t>
  </si>
  <si>
    <t>034000.PK/LG.01/ICT/2022</t>
  </si>
  <si>
    <t>037000.PKL/LG.01/ICT/2024</t>
  </si>
  <si>
    <t xml:space="preserve">003200.PK/LG.01/ICT/2026 </t>
  </si>
  <si>
    <t>009700.PK/HK.02/GLM/2025</t>
  </si>
  <si>
    <t>067400.ND/LG.01/DKP/2025</t>
  </si>
  <si>
    <t>070300.PK/LG.01/GLS/2025</t>
  </si>
  <si>
    <t>021400.PK/LG.01/CFN/2026</t>
  </si>
  <si>
    <t>061200.PK/HK.02/OMM/2024</t>
  </si>
  <si>
    <t>029400.PK/LG.01/ICT/2025</t>
  </si>
  <si>
    <t xml:space="preserve">RIKI </t>
  </si>
  <si>
    <t>018100.PK/LG.01/ICT/2023</t>
  </si>
  <si>
    <t>027100.AMD/LG.01/ICT/2023</t>
  </si>
  <si>
    <t>belum ada dokumen kontrak</t>
  </si>
  <si>
    <t>Submit dokumen, proses tender</t>
  </si>
  <si>
    <t>048000.PK/LG.01.01/AFM/2026</t>
  </si>
  <si>
    <t>SUKMA</t>
  </si>
  <si>
    <t>007600.PK/LG.01/ICT/2026</t>
  </si>
  <si>
    <t>0020104.PER/KOM-PLI/26</t>
  </si>
  <si>
    <t>BA-006/PG3300/2026-S0</t>
  </si>
  <si>
    <t>035187/SOF/COM/V/2025</t>
  </si>
  <si>
    <t>TBC Infra</t>
  </si>
  <si>
    <t>034543/SOF/COM/VII/2022</t>
  </si>
  <si>
    <t>013001.PKS/HK/PGNCOM/XII/2024</t>
  </si>
  <si>
    <t>Pengadaan Sewa Aplikasi Absensi Online (Bimasakti) 90 user</t>
  </si>
  <si>
    <t>002600.SPK/LG.01/GEI-321/2026</t>
  </si>
  <si>
    <t>No 3950471402</t>
  </si>
  <si>
    <t>Amd 1 No. 4710003974</t>
  </si>
  <si>
    <t xml:space="preserve">TITA </t>
  </si>
  <si>
    <t xml:space="preserve">ISPD-JIHAD </t>
  </si>
  <si>
    <t>YIYIP-AHMAD</t>
  </si>
  <si>
    <t>008/SPK/DIRUT/PAS/2026</t>
  </si>
  <si>
    <t>ON GOING</t>
  </si>
  <si>
    <t>?</t>
  </si>
  <si>
    <t>DTDI/DPJ/12/2025</t>
  </si>
  <si>
    <t>Kontrak per entitas</t>
  </si>
  <si>
    <t>YIYIP-JIHAD</t>
  </si>
  <si>
    <t>003/PN2000/2026-S0</t>
  </si>
  <si>
    <t>Sirkuler</t>
  </si>
  <si>
    <t>031/KPI7200/2026-S0</t>
  </si>
  <si>
    <t>SP3MK; under review legal</t>
  </si>
  <si>
    <t>SP3MK 007/PPNJD0000/2026-S0</t>
  </si>
  <si>
    <t>SP-01/KPI72100/2025-S0</t>
  </si>
  <si>
    <t>022200.PK/LG.01/ICT/2025</t>
  </si>
  <si>
    <t>Selesai finalisasi</t>
  </si>
  <si>
    <t>PO-2026-06-26-921713797</t>
  </si>
  <si>
    <t>Security Awareness-Cyber Security BSSN Forum untuk AP/JV PT Pertamina Gas Tahun 2026</t>
  </si>
  <si>
    <t>011/PG3300/2026-S0</t>
  </si>
  <si>
    <t>DTIS/SPJ/24A/XII/2025</t>
  </si>
  <si>
    <t>SPJ/SGN/HO/2025/TI0563</t>
  </si>
  <si>
    <t>121603/KS-RPN/XII/2025</t>
  </si>
  <si>
    <t>002/KPBN/Sperj/18/XII/2025</t>
  </si>
  <si>
    <t>To be confirmed</t>
  </si>
  <si>
    <t>Label Baris</t>
  </si>
  <si>
    <t>Count of Project Name</t>
  </si>
  <si>
    <t>Count of Skema</t>
  </si>
  <si>
    <t>(kosong)</t>
  </si>
  <si>
    <t>Total Keseluruhan</t>
  </si>
  <si>
    <t>Sum of Project_Value</t>
  </si>
  <si>
    <t>CLOSED</t>
  </si>
  <si>
    <t>Hitung dari TKDN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</si>
</sst>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2" formatCode="_-&quot;Rp&quot;* #,##0_-;\-&quot;Rp&quot;* #,##0_-;_-&quot;Rp&quot;* &quot;-&quot;_-;_-@_-"/>
    <numFmt numFmtId="41" formatCode="_-* #,##0_-;\-* #,##0_-;_-* &quot;-&quot;_-;_-@_-"/>
    <numFmt numFmtId="164" formatCode="_(* #,##0.00_);_(* \(#,##0.00\);_(* &quot;-&quot;??_);_(@_)"/>
    <numFmt numFmtId="165" formatCode="[$-13809]d\ mmm\ yyyy;@"/>
    <numFmt numFmtId="166" formatCode="_(* #,##0_);_(* \(#,##0\);_(* &quot;-&quot;??_);_(@_)"/>
    <numFmt numFmtId="167" formatCode="[$-409]dd\-mmm\-yy;@"/>
    <numFmt numFmtId="168" formatCode="[$Rp-421]#,##0.00"/>
    <numFmt numFmtId="169" formatCode="[$-421]dd\ mmmm\ yyyy;@"/>
    <numFmt numFmtId="170" formatCode="[$Rp-421]#,##0"/>
    <numFmt numFmtId="171" formatCode="_-[$Rp-421]* #,##0_-;\-[$Rp-421]* #,##0_-;_-[$Rp-421]* &quot;-&quot;??_-;_-@_-"/>
    <numFmt numFmtId="172" formatCode="_-[$Rp-421]* #,##0_-;\-[$Rp-421]* #,##0_-;_-[$Rp-421]* &quot;-&quot;_-;_-@_-"/>
    <numFmt numFmtId="173" formatCode="_-* #,##0.00_-;\-* #,##0.00_-;_-* &quot;-&quot;_-;_-@_-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</font>
    <font>
      <i/>
      <sz val="11"/>
      <color rgb="FFFF0000"/>
      <name val="Aptos Narrow"/>
      <family val="2"/>
      <scheme val="minor"/>
    </font>
    <font>
      <sz val="12"/>
      <name val="Aptos"/>
      <family val="2"/>
      <charset val="1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charset val="1"/>
      <scheme val="minor"/>
    </font>
    <font>
      <sz val="11"/>
      <name val="Consolas"/>
      <family val="2"/>
    </font>
    <font>
      <sz val="11"/>
      <color theme="1"/>
      <name val="Aptos Narrow"/>
      <scheme val="minor"/>
    </font>
    <font>
      <sz val="11"/>
      <name val="Aptos Narrow"/>
      <scheme val="minor"/>
    </font>
    <font>
      <sz val="11"/>
      <name val="Aptos Narrow (Badan)"/>
      <charset val="1"/>
    </font>
    <font>
      <b/>
      <sz val="11"/>
      <color theme="1"/>
      <name val="Aptos Narrow"/>
      <scheme val="minor"/>
    </font>
    <font>
      <sz val="12"/>
      <color rgb="FFFF0000"/>
      <name val="Aptos Narrow"/>
      <family val="2"/>
      <charset val="1"/>
      <scheme val="minor"/>
    </font>
    <font>
      <b/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1"/>
      <name val="Calibri"/>
      <family val="2"/>
    </font>
    <font>
      <sz val="10"/>
      <color theme="1"/>
      <name val="Aptos Narrow"/>
      <scheme val="minor"/>
    </font>
    <font>
      <sz val="10"/>
      <name val="Aptos Narrow"/>
      <scheme val="minor"/>
    </font>
    <font>
      <sz val="11"/>
      <name val="Aptos Narrow"/>
    </font>
    <font>
      <sz val="10"/>
      <name val="Aptos Narrow"/>
      <family val="2"/>
      <charset val="1"/>
      <scheme val="minor"/>
    </font>
    <font>
      <i/>
      <sz val="11"/>
      <name val="Aptos Narrow"/>
      <scheme val="minor"/>
    </font>
    <font>
      <u/>
      <sz val="11"/>
      <color theme="10"/>
      <name val="Aptos Narrow"/>
      <scheme val="minor"/>
    </font>
    <font>
      <sz val="11"/>
      <color rgb="FF000000"/>
      <name val="Aptos Narrow"/>
      <scheme val="minor"/>
    </font>
    <font>
      <sz val="11"/>
      <color theme="1" tint="4.9989318521683403E-2"/>
      <name val="Aptos Narrow"/>
      <scheme val="minor"/>
    </font>
    <font>
      <sz val="11"/>
      <color rgb="FF000000"/>
      <name val="Aptos Narrow"/>
      <family val="2"/>
    </font>
    <font>
      <sz val="11"/>
      <color rgb="FFFF0000"/>
      <name val="Aptos Narrow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theme="7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2B1D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7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1" fontId="0" fillId="0" borderId="0" xfId="0" applyNumberFormat="1"/>
    <xf numFmtId="0" fontId="0" fillId="0" borderId="0" xfId="0" applyAlignment="1">
      <alignment horizontal="left" vertical="top"/>
    </xf>
    <xf numFmtId="41" fontId="0" fillId="0" borderId="0" xfId="1" applyFont="1"/>
    <xf numFmtId="0" fontId="5" fillId="0" borderId="0" xfId="0" applyFont="1" applyAlignment="1">
      <alignment horizontal="left"/>
    </xf>
    <xf numFmtId="0" fontId="2" fillId="0" borderId="0" xfId="0" applyFont="1"/>
    <xf numFmtId="0" fontId="0" fillId="0" borderId="4" xfId="0" applyBorder="1" applyAlignment="1">
      <alignment horizontal="left"/>
    </xf>
    <xf numFmtId="0" fontId="0" fillId="0" borderId="4" xfId="0" applyBorder="1"/>
    <xf numFmtId="10" fontId="0" fillId="0" borderId="0" xfId="3" applyNumberFormat="1" applyFont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8" fillId="0" borderId="0" xfId="0" applyFont="1"/>
    <xf numFmtId="0" fontId="5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right"/>
    </xf>
    <xf numFmtId="168" fontId="0" fillId="0" borderId="0" xfId="2" applyNumberFormat="1" applyFont="1" applyAlignment="1">
      <alignment horizontal="right"/>
    </xf>
    <xf numFmtId="41" fontId="2" fillId="0" borderId="0" xfId="1" applyFont="1"/>
    <xf numFmtId="0" fontId="13" fillId="4" borderId="0" xfId="0" applyFont="1" applyFill="1" applyAlignment="1">
      <alignment horizontal="center"/>
    </xf>
    <xf numFmtId="15" fontId="0" fillId="0" borderId="0" xfId="0" applyNumberFormat="1"/>
    <xf numFmtId="0" fontId="3" fillId="0" borderId="0" xfId="0" applyFont="1"/>
    <xf numFmtId="166" fontId="0" fillId="0" borderId="4" xfId="2" applyNumberFormat="1" applyFont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8" xfId="0" applyBorder="1"/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0" fillId="6" borderId="0" xfId="0" applyFill="1" applyAlignment="1">
      <alignment horizontal="center" vertical="top"/>
    </xf>
    <xf numFmtId="0" fontId="0" fillId="6" borderId="0" xfId="0" applyFill="1" applyAlignment="1">
      <alignment vertical="top"/>
    </xf>
    <xf numFmtId="0" fontId="0" fillId="6" borderId="0" xfId="0" applyFill="1"/>
    <xf numFmtId="0" fontId="0" fillId="6" borderId="0" xfId="0" applyFill="1" applyAlignment="1">
      <alignment horizontal="left" vertical="top"/>
    </xf>
    <xf numFmtId="15" fontId="0" fillId="6" borderId="0" xfId="0" applyNumberFormat="1" applyFill="1"/>
    <xf numFmtId="14" fontId="0" fillId="6" borderId="0" xfId="0" applyNumberFormat="1" applyFill="1" applyAlignment="1">
      <alignment horizontal="center" vertical="top"/>
    </xf>
    <xf numFmtId="0" fontId="8" fillId="0" borderId="0" xfId="0" applyFont="1" applyAlignment="1">
      <alignment horizontal="left" vertical="top"/>
    </xf>
    <xf numFmtId="0" fontId="3" fillId="5" borderId="7" xfId="0" applyFont="1" applyFill="1" applyBorder="1" applyAlignment="1">
      <alignment horizontal="center" vertical="center"/>
    </xf>
    <xf numFmtId="0" fontId="0" fillId="0" borderId="9" xfId="0" applyBorder="1"/>
    <xf numFmtId="0" fontId="5" fillId="0" borderId="4" xfId="0" applyFont="1" applyBorder="1"/>
    <xf numFmtId="41" fontId="0" fillId="0" borderId="4" xfId="1" applyFont="1" applyBorder="1"/>
    <xf numFmtId="0" fontId="8" fillId="0" borderId="0" xfId="0" applyFont="1" applyAlignment="1">
      <alignment vertical="top"/>
    </xf>
    <xf numFmtId="0" fontId="3" fillId="4" borderId="0" xfId="0" applyFont="1" applyFill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10" fillId="0" borderId="2" xfId="0" applyFont="1" applyBorder="1" applyAlignment="1">
      <alignment vertical="center"/>
    </xf>
    <xf numFmtId="0" fontId="13" fillId="4" borderId="0" xfId="0" applyFont="1" applyFill="1"/>
    <xf numFmtId="0" fontId="0" fillId="0" borderId="4" xfId="0" applyBorder="1" applyAlignment="1">
      <alignment horizontal="center" vertical="center"/>
    </xf>
    <xf numFmtId="166" fontId="0" fillId="0" borderId="0" xfId="0" applyNumberFormat="1"/>
    <xf numFmtId="169" fontId="0" fillId="0" borderId="0" xfId="3" applyNumberFormat="1" applyFont="1"/>
    <xf numFmtId="0" fontId="0" fillId="0" borderId="4" xfId="0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9" fillId="3" borderId="0" xfId="0" applyFont="1" applyFill="1" applyAlignment="1">
      <alignment horizontal="center"/>
    </xf>
    <xf numFmtId="0" fontId="9" fillId="3" borderId="0" xfId="0" applyFont="1" applyFill="1" applyAlignment="1">
      <alignment horizontal="left"/>
    </xf>
    <xf numFmtId="167" fontId="0" fillId="3" borderId="0" xfId="0" applyNumberFormat="1" applyFill="1" applyAlignment="1">
      <alignment horizontal="center"/>
    </xf>
    <xf numFmtId="168" fontId="0" fillId="3" borderId="0" xfId="0" applyNumberFormat="1" applyFill="1" applyAlignment="1">
      <alignment horizontal="right"/>
    </xf>
    <xf numFmtId="168" fontId="0" fillId="3" borderId="0" xfId="2" applyNumberFormat="1" applyFont="1" applyFill="1" applyAlignment="1">
      <alignment horizontal="right"/>
    </xf>
    <xf numFmtId="41" fontId="0" fillId="3" borderId="0" xfId="0" applyNumberFormat="1" applyFill="1" applyAlignment="1">
      <alignment horizontal="left"/>
    </xf>
    <xf numFmtId="0" fontId="0" fillId="3" borderId="0" xfId="0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0" fillId="2" borderId="0" xfId="0" applyFill="1"/>
    <xf numFmtId="0" fontId="7" fillId="10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2" fontId="5" fillId="0" borderId="0" xfId="0" applyNumberFormat="1" applyFont="1" applyAlignment="1">
      <alignment horizontal="center"/>
    </xf>
    <xf numFmtId="166" fontId="5" fillId="0" borderId="0" xfId="0" applyNumberFormat="1" applyFont="1"/>
    <xf numFmtId="0" fontId="4" fillId="0" borderId="0" xfId="4"/>
    <xf numFmtId="0" fontId="5" fillId="0" borderId="4" xfId="0" applyFont="1" applyBorder="1" applyAlignment="1">
      <alignment horizontal="center"/>
    </xf>
    <xf numFmtId="0" fontId="0" fillId="0" borderId="12" xfId="0" applyBorder="1"/>
    <xf numFmtId="0" fontId="0" fillId="0" borderId="5" xfId="0" applyBorder="1"/>
    <xf numFmtId="0" fontId="11" fillId="0" borderId="0" xfId="0" applyFont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/>
    </xf>
    <xf numFmtId="0" fontId="0" fillId="3" borderId="4" xfId="0" applyFill="1" applyBorder="1"/>
    <xf numFmtId="164" fontId="5" fillId="0" borderId="0" xfId="0" applyNumberFormat="1" applyFont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4" xfId="0" applyFont="1" applyBorder="1"/>
    <xf numFmtId="0" fontId="18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left"/>
    </xf>
    <xf numFmtId="0" fontId="18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/>
    </xf>
    <xf numFmtId="166" fontId="17" fillId="0" borderId="4" xfId="0" applyNumberFormat="1" applyFont="1" applyBorder="1"/>
    <xf numFmtId="0" fontId="5" fillId="3" borderId="1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/>
    </xf>
    <xf numFmtId="0" fontId="3" fillId="12" borderId="4" xfId="0" applyFont="1" applyFill="1" applyBorder="1"/>
    <xf numFmtId="0" fontId="3" fillId="4" borderId="0" xfId="0" applyFont="1" applyFill="1"/>
    <xf numFmtId="0" fontId="20" fillId="4" borderId="0" xfId="0" applyFont="1" applyFill="1" applyAlignment="1">
      <alignment horizontal="center"/>
    </xf>
    <xf numFmtId="17" fontId="7" fillId="0" borderId="6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11" xfId="0" applyBorder="1"/>
    <xf numFmtId="17" fontId="0" fillId="0" borderId="7" xfId="0" applyNumberFormat="1" applyBorder="1"/>
    <xf numFmtId="17" fontId="0" fillId="0" borderId="11" xfId="0" applyNumberFormat="1" applyBorder="1"/>
    <xf numFmtId="0" fontId="0" fillId="0" borderId="10" xfId="0" applyBorder="1"/>
    <xf numFmtId="0" fontId="0" fillId="0" borderId="13" xfId="0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17" fontId="0" fillId="0" borderId="0" xfId="0" applyNumberFormat="1"/>
    <xf numFmtId="0" fontId="10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" fontId="21" fillId="0" borderId="0" xfId="0" applyNumberFormat="1" applyFont="1"/>
    <xf numFmtId="0" fontId="0" fillId="0" borderId="10" xfId="0" applyBorder="1" applyAlignment="1">
      <alignment horizontal="left"/>
    </xf>
    <xf numFmtId="10" fontId="5" fillId="0" borderId="9" xfId="0" applyNumberFormat="1" applyFont="1" applyBorder="1" applyAlignment="1">
      <alignment horizontal="right" vertical="center"/>
    </xf>
    <xf numFmtId="10" fontId="5" fillId="0" borderId="6" xfId="0" applyNumberFormat="1" applyFont="1" applyBorder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10" fillId="0" borderId="6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right"/>
    </xf>
    <xf numFmtId="10" fontId="10" fillId="3" borderId="6" xfId="0" applyNumberFormat="1" applyFont="1" applyFill="1" applyBorder="1" applyAlignment="1">
      <alignment horizontal="right" vertical="center"/>
    </xf>
    <xf numFmtId="10" fontId="5" fillId="3" borderId="6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0" fillId="3" borderId="6" xfId="0" applyFill="1" applyBorder="1"/>
    <xf numFmtId="17" fontId="0" fillId="0" borderId="6" xfId="0" applyNumberFormat="1" applyBorder="1"/>
    <xf numFmtId="0" fontId="0" fillId="0" borderId="6" xfId="0" applyBorder="1"/>
    <xf numFmtId="17" fontId="0" fillId="0" borderId="9" xfId="0" applyNumberFormat="1" applyBorder="1"/>
    <xf numFmtId="17" fontId="21" fillId="3" borderId="6" xfId="0" applyNumberFormat="1" applyFont="1" applyFill="1" applyBorder="1"/>
    <xf numFmtId="17" fontId="0" fillId="3" borderId="6" xfId="0" applyNumberFormat="1" applyFill="1" applyBorder="1"/>
    <xf numFmtId="0" fontId="0" fillId="0" borderId="0" xfId="0" applyAlignment="1">
      <alignment vertical="center"/>
    </xf>
    <xf numFmtId="166" fontId="17" fillId="0" borderId="4" xfId="2" applyNumberFormat="1" applyFont="1" applyBorder="1"/>
    <xf numFmtId="0" fontId="7" fillId="10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left" vertical="center"/>
    </xf>
    <xf numFmtId="0" fontId="19" fillId="13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5" fillId="13" borderId="0" xfId="0" applyFont="1" applyFill="1" applyAlignment="1">
      <alignment vertical="center"/>
    </xf>
    <xf numFmtId="0" fontId="10" fillId="1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0" fillId="1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0" fillId="13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center"/>
    </xf>
    <xf numFmtId="0" fontId="5" fillId="11" borderId="0" xfId="0" applyFont="1" applyFill="1"/>
    <xf numFmtId="164" fontId="0" fillId="0" borderId="0" xfId="0" applyNumberFormat="1"/>
    <xf numFmtId="0" fontId="17" fillId="0" borderId="0" xfId="0" applyFont="1" applyAlignment="1">
      <alignment horizontal="center" vertical="center"/>
    </xf>
    <xf numFmtId="164" fontId="17" fillId="0" borderId="0" xfId="0" applyNumberFormat="1" applyFont="1"/>
    <xf numFmtId="0" fontId="5" fillId="3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8" fontId="0" fillId="0" borderId="0" xfId="2" applyNumberFormat="1" applyFont="1" applyFill="1" applyAlignment="1">
      <alignment horizontal="right"/>
    </xf>
    <xf numFmtId="0" fontId="17" fillId="0" borderId="4" xfId="0" applyFont="1" applyBorder="1" applyAlignment="1">
      <alignment horizontal="center" vertical="top"/>
    </xf>
    <xf numFmtId="166" fontId="17" fillId="0" borderId="4" xfId="2" applyNumberFormat="1" applyFont="1" applyBorder="1" applyAlignment="1">
      <alignment vertical="top"/>
    </xf>
    <xf numFmtId="41" fontId="3" fillId="4" borderId="0" xfId="1" applyFont="1" applyFill="1"/>
    <xf numFmtId="10" fontId="3" fillId="4" borderId="0" xfId="3" applyNumberFormat="1" applyFont="1" applyFill="1"/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5" fillId="0" borderId="4" xfId="0" quotePrefix="1" applyFont="1" applyBorder="1" applyAlignment="1">
      <alignment horizontal="left" vertical="center"/>
    </xf>
    <xf numFmtId="167" fontId="10" fillId="3" borderId="4" xfId="0" applyNumberFormat="1" applyFont="1" applyFill="1" applyBorder="1" applyAlignment="1">
      <alignment horizontal="center" vertical="center"/>
    </xf>
    <xf numFmtId="167" fontId="5" fillId="3" borderId="4" xfId="0" applyNumberFormat="1" applyFont="1" applyFill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168" fontId="5" fillId="3" borderId="4" xfId="2" applyNumberFormat="1" applyFont="1" applyFill="1" applyBorder="1" applyAlignment="1">
      <alignment horizontal="right" vertical="center"/>
    </xf>
    <xf numFmtId="168" fontId="5" fillId="3" borderId="4" xfId="1" applyNumberFormat="1" applyFont="1" applyFill="1" applyBorder="1" applyAlignment="1">
      <alignment horizontal="right" vertical="center"/>
    </xf>
    <xf numFmtId="41" fontId="5" fillId="0" borderId="4" xfId="1" applyFont="1" applyFill="1" applyBorder="1" applyAlignment="1">
      <alignment horizontal="left" vertical="center"/>
    </xf>
    <xf numFmtId="10" fontId="5" fillId="0" borderId="4" xfId="0" applyNumberFormat="1" applyFont="1" applyBorder="1" applyAlignment="1">
      <alignment horizontal="center" vertical="center"/>
    </xf>
    <xf numFmtId="168" fontId="5" fillId="0" borderId="4" xfId="2" applyNumberFormat="1" applyFont="1" applyFill="1" applyBorder="1" applyAlignment="1">
      <alignment horizontal="right" vertical="center"/>
    </xf>
    <xf numFmtId="168" fontId="19" fillId="3" borderId="4" xfId="1" applyNumberFormat="1" applyFont="1" applyFill="1" applyBorder="1" applyAlignment="1">
      <alignment horizontal="right" vertical="center"/>
    </xf>
    <xf numFmtId="10" fontId="18" fillId="3" borderId="4" xfId="3" applyNumberFormat="1" applyFont="1" applyFill="1" applyBorder="1" applyAlignment="1">
      <alignment horizontal="center" vertical="center"/>
    </xf>
    <xf numFmtId="166" fontId="5" fillId="0" borderId="4" xfId="0" applyNumberFormat="1" applyFont="1" applyBorder="1" applyAlignment="1">
      <alignment horizontal="left" vertical="center"/>
    </xf>
    <xf numFmtId="168" fontId="5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 wrapText="1"/>
    </xf>
    <xf numFmtId="168" fontId="10" fillId="0" borderId="4" xfId="0" applyNumberFormat="1" applyFont="1" applyBorder="1" applyAlignment="1">
      <alignment horizontal="right" vertical="center"/>
    </xf>
    <xf numFmtId="168" fontId="5" fillId="0" borderId="4" xfId="1" applyNumberFormat="1" applyFont="1" applyFill="1" applyBorder="1" applyAlignment="1">
      <alignment horizontal="right" vertical="center"/>
    </xf>
    <xf numFmtId="166" fontId="5" fillId="0" borderId="4" xfId="1" applyNumberFormat="1" applyFont="1" applyFill="1" applyBorder="1" applyAlignment="1">
      <alignment horizontal="left" vertical="center"/>
    </xf>
    <xf numFmtId="168" fontId="19" fillId="0" borderId="4" xfId="1" applyNumberFormat="1" applyFont="1" applyFill="1" applyBorder="1" applyAlignment="1">
      <alignment horizontal="right" vertical="center"/>
    </xf>
    <xf numFmtId="166" fontId="10" fillId="0" borderId="4" xfId="0" applyNumberFormat="1" applyFont="1" applyBorder="1" applyAlignment="1">
      <alignment horizontal="left" vertical="center"/>
    </xf>
    <xf numFmtId="10" fontId="10" fillId="0" borderId="4" xfId="0" applyNumberFormat="1" applyFont="1" applyBorder="1" applyAlignment="1">
      <alignment horizontal="center" vertical="center"/>
    </xf>
    <xf numFmtId="168" fontId="10" fillId="3" borderId="4" xfId="2" applyNumberFormat="1" applyFont="1" applyFill="1" applyBorder="1" applyAlignment="1">
      <alignment horizontal="right" vertical="center"/>
    </xf>
    <xf numFmtId="168" fontId="5" fillId="3" borderId="4" xfId="0" applyNumberFormat="1" applyFont="1" applyFill="1" applyBorder="1" applyAlignment="1">
      <alignment horizontal="right" vertical="center"/>
    </xf>
    <xf numFmtId="10" fontId="18" fillId="0" borderId="4" xfId="3" applyNumberFormat="1" applyFont="1" applyFill="1" applyBorder="1" applyAlignment="1">
      <alignment horizontal="center" vertical="center"/>
    </xf>
    <xf numFmtId="167" fontId="5" fillId="0" borderId="4" xfId="0" quotePrefix="1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quotePrefix="1" applyFont="1" applyBorder="1" applyAlignment="1">
      <alignment horizontal="left" vertical="center" wrapText="1"/>
    </xf>
    <xf numFmtId="0" fontId="10" fillId="0" borderId="4" xfId="0" quotePrefix="1" applyFont="1" applyBorder="1" applyAlignment="1">
      <alignment horizontal="left" vertical="center"/>
    </xf>
    <xf numFmtId="167" fontId="10" fillId="0" borderId="4" xfId="0" applyNumberFormat="1" applyFont="1" applyBorder="1" applyAlignment="1">
      <alignment horizontal="center" vertical="center"/>
    </xf>
    <xf numFmtId="168" fontId="10" fillId="0" borderId="4" xfId="2" applyNumberFormat="1" applyFont="1" applyFill="1" applyBorder="1" applyAlignment="1">
      <alignment horizontal="right" vertical="center"/>
    </xf>
    <xf numFmtId="41" fontId="10" fillId="0" borderId="4" xfId="1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170" fontId="5" fillId="3" borderId="4" xfId="1" applyNumberFormat="1" applyFont="1" applyFill="1" applyBorder="1" applyAlignment="1">
      <alignment horizontal="right" vertical="center"/>
    </xf>
    <xf numFmtId="41" fontId="5" fillId="0" borderId="4" xfId="1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168" fontId="10" fillId="0" borderId="4" xfId="2" applyNumberFormat="1" applyFont="1" applyBorder="1" applyAlignment="1">
      <alignment horizontal="right" vertical="center"/>
    </xf>
    <xf numFmtId="167" fontId="5" fillId="2" borderId="4" xfId="0" applyNumberFormat="1" applyFont="1" applyFill="1" applyBorder="1" applyAlignment="1">
      <alignment horizontal="center" vertical="center"/>
    </xf>
    <xf numFmtId="170" fontId="16" fillId="3" borderId="4" xfId="0" applyNumberFormat="1" applyFont="1" applyFill="1" applyBorder="1"/>
    <xf numFmtId="0" fontId="10" fillId="0" borderId="4" xfId="0" applyFont="1" applyBorder="1" applyAlignment="1">
      <alignment horizontal="left"/>
    </xf>
    <xf numFmtId="10" fontId="5" fillId="0" borderId="4" xfId="0" applyNumberFormat="1" applyFont="1" applyBorder="1" applyAlignment="1">
      <alignment horizontal="left" vertical="center"/>
    </xf>
    <xf numFmtId="168" fontId="19" fillId="0" borderId="4" xfId="0" applyNumberFormat="1" applyFont="1" applyBorder="1"/>
    <xf numFmtId="10" fontId="5" fillId="0" borderId="4" xfId="3" applyNumberFormat="1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168" fontId="10" fillId="0" borderId="4" xfId="1" applyNumberFormat="1" applyFont="1" applyFill="1" applyBorder="1" applyAlignment="1">
      <alignment horizontal="right" vertical="center"/>
    </xf>
    <xf numFmtId="165" fontId="5" fillId="0" borderId="4" xfId="0" quotePrefix="1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168" fontId="5" fillId="0" borderId="4" xfId="1" applyNumberFormat="1" applyFont="1" applyBorder="1" applyAlignment="1">
      <alignment horizontal="right" vertical="center"/>
    </xf>
    <xf numFmtId="168" fontId="5" fillId="0" borderId="4" xfId="2" applyNumberFormat="1" applyFont="1" applyBorder="1" applyAlignment="1">
      <alignment horizontal="right" vertical="center"/>
    </xf>
    <xf numFmtId="171" fontId="16" fillId="3" borderId="4" xfId="0" applyNumberFormat="1" applyFont="1" applyFill="1" applyBorder="1"/>
    <xf numFmtId="0" fontId="5" fillId="8" borderId="4" xfId="0" applyFont="1" applyFill="1" applyBorder="1" applyAlignment="1">
      <alignment horizontal="center" vertical="center"/>
    </xf>
    <xf numFmtId="168" fontId="10" fillId="3" borderId="4" xfId="0" applyNumberFormat="1" applyFont="1" applyFill="1" applyBorder="1" applyAlignment="1">
      <alignment horizontal="right" vertical="center"/>
    </xf>
    <xf numFmtId="168" fontId="19" fillId="0" borderId="4" xfId="0" applyNumberFormat="1" applyFont="1" applyBorder="1" applyAlignment="1">
      <alignment horizontal="right" vertical="center"/>
    </xf>
    <xf numFmtId="10" fontId="18" fillId="0" borderId="4" xfId="3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4" xfId="0" applyFont="1" applyBorder="1" applyAlignment="1">
      <alignment horizontal="left" vertical="center" wrapText="1"/>
    </xf>
    <xf numFmtId="0" fontId="18" fillId="0" borderId="4" xfId="0" applyFont="1" applyBorder="1"/>
    <xf numFmtId="0" fontId="18" fillId="13" borderId="4" xfId="0" applyFont="1" applyFill="1" applyBorder="1" applyAlignment="1">
      <alignment horizontal="right" vertical="center"/>
    </xf>
    <xf numFmtId="0" fontId="18" fillId="0" borderId="4" xfId="0" applyFont="1" applyBorder="1" applyAlignment="1">
      <alignment horizontal="right" vertical="center"/>
    </xf>
    <xf numFmtId="0" fontId="18" fillId="0" borderId="4" xfId="0" applyFont="1" applyBorder="1" applyAlignment="1">
      <alignment horizontal="right"/>
    </xf>
    <xf numFmtId="0" fontId="18" fillId="3" borderId="4" xfId="0" applyFont="1" applyFill="1" applyBorder="1" applyAlignment="1">
      <alignment horizontal="right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4" borderId="4" xfId="0" applyFont="1" applyFill="1" applyBorder="1" applyAlignment="1">
      <alignment horizontal="right" vertical="center"/>
    </xf>
    <xf numFmtId="0" fontId="18" fillId="3" borderId="4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0" fillId="0" borderId="4" xfId="0" applyFont="1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17" fillId="0" borderId="0" xfId="0" applyFont="1"/>
    <xf numFmtId="0" fontId="5" fillId="0" borderId="17" xfId="0" applyFont="1" applyBorder="1"/>
    <xf numFmtId="0" fontId="0" fillId="0" borderId="17" xfId="0" applyBorder="1"/>
    <xf numFmtId="0" fontId="24" fillId="0" borderId="0" xfId="0" applyFont="1"/>
    <xf numFmtId="0" fontId="24" fillId="0" borderId="4" xfId="0" applyFont="1" applyBorder="1"/>
    <xf numFmtId="0" fontId="26" fillId="15" borderId="4" xfId="0" applyFont="1" applyFill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26" fillId="0" borderId="4" xfId="0" applyFont="1" applyBorder="1"/>
    <xf numFmtId="0" fontId="26" fillId="0" borderId="4" xfId="0" applyFont="1" applyBorder="1" applyAlignment="1">
      <alignment horizontal="left" vertical="center" shrinkToFit="1"/>
    </xf>
    <xf numFmtId="0" fontId="26" fillId="0" borderId="4" xfId="0" quotePrefix="1" applyFont="1" applyBorder="1" applyAlignment="1">
      <alignment horizontal="left" vertical="center" shrinkToFit="1"/>
    </xf>
    <xf numFmtId="0" fontId="26" fillId="0" borderId="4" xfId="0" applyFont="1" applyBorder="1" applyAlignment="1">
      <alignment horizontal="left"/>
    </xf>
    <xf numFmtId="0" fontId="25" fillId="0" borderId="4" xfId="0" applyFont="1" applyBorder="1" applyAlignment="1">
      <alignment horizontal="left" vertical="top"/>
    </xf>
    <xf numFmtId="0" fontId="25" fillId="0" borderId="4" xfId="0" applyFont="1" applyBorder="1" applyAlignment="1">
      <alignment horizontal="center" vertical="top"/>
    </xf>
    <xf numFmtId="0" fontId="26" fillId="0" borderId="4" xfId="0" applyFont="1" applyBorder="1" applyAlignment="1">
      <alignment horizontal="center" vertical="top"/>
    </xf>
    <xf numFmtId="0" fontId="26" fillId="0" borderId="4" xfId="0" applyFont="1" applyBorder="1" applyAlignment="1">
      <alignment horizontal="center"/>
    </xf>
    <xf numFmtId="167" fontId="25" fillId="0" borderId="4" xfId="0" applyNumberFormat="1" applyFont="1" applyBorder="1" applyAlignment="1">
      <alignment horizontal="center" vertical="top"/>
    </xf>
    <xf numFmtId="168" fontId="25" fillId="0" borderId="4" xfId="0" applyNumberFormat="1" applyFont="1" applyBorder="1" applyAlignment="1">
      <alignment horizontal="right" vertical="top"/>
    </xf>
    <xf numFmtId="168" fontId="25" fillId="0" borderId="4" xfId="2" applyNumberFormat="1" applyFont="1" applyFill="1" applyBorder="1" applyAlignment="1">
      <alignment horizontal="right" vertical="top"/>
    </xf>
    <xf numFmtId="0" fontId="0" fillId="0" borderId="0" xfId="0" applyAlignment="1">
      <alignment vertical="top" wrapText="1"/>
    </xf>
    <xf numFmtId="0" fontId="26" fillId="3" borderId="4" xfId="0" applyFont="1" applyFill="1" applyBorder="1" applyAlignment="1">
      <alignment horizontal="left" vertical="center"/>
    </xf>
    <xf numFmtId="167" fontId="0" fillId="0" borderId="4" xfId="0" applyNumberFormat="1" applyBorder="1" applyAlignment="1">
      <alignment horizontal="center"/>
    </xf>
    <xf numFmtId="168" fontId="0" fillId="0" borderId="4" xfId="0" applyNumberFormat="1" applyBorder="1" applyAlignment="1">
      <alignment horizontal="right"/>
    </xf>
    <xf numFmtId="168" fontId="0" fillId="0" borderId="4" xfId="2" applyNumberFormat="1" applyFont="1" applyBorder="1" applyAlignment="1">
      <alignment horizontal="right"/>
    </xf>
    <xf numFmtId="10" fontId="0" fillId="0" borderId="4" xfId="3" applyNumberFormat="1" applyFont="1" applyBorder="1" applyAlignment="1">
      <alignment horizontal="right"/>
    </xf>
    <xf numFmtId="0" fontId="7" fillId="4" borderId="9" xfId="0" applyFont="1" applyFill="1" applyBorder="1" applyAlignment="1">
      <alignment horizontal="center" vertical="center"/>
    </xf>
    <xf numFmtId="167" fontId="7" fillId="4" borderId="9" xfId="0" applyNumberFormat="1" applyFont="1" applyFill="1" applyBorder="1" applyAlignment="1">
      <alignment horizontal="center" vertical="center"/>
    </xf>
    <xf numFmtId="168" fontId="7" fillId="4" borderId="9" xfId="0" applyNumberFormat="1" applyFont="1" applyFill="1" applyBorder="1" applyAlignment="1">
      <alignment horizontal="center" vertical="center"/>
    </xf>
    <xf numFmtId="168" fontId="7" fillId="4" borderId="9" xfId="2" applyNumberFormat="1" applyFont="1" applyFill="1" applyBorder="1" applyAlignment="1">
      <alignment horizontal="center" vertical="center"/>
    </xf>
    <xf numFmtId="0" fontId="5" fillId="0" borderId="18" xfId="0" applyFont="1" applyBorder="1"/>
    <xf numFmtId="41" fontId="17" fillId="0" borderId="0" xfId="0" applyNumberFormat="1" applyFont="1"/>
    <xf numFmtId="0" fontId="17" fillId="0" borderId="0" xfId="0" applyFont="1" applyAlignment="1">
      <alignment horizontal="center"/>
    </xf>
    <xf numFmtId="41" fontId="17" fillId="0" borderId="0" xfId="1" applyFont="1"/>
    <xf numFmtId="0" fontId="23" fillId="4" borderId="17" xfId="0" applyFont="1" applyFill="1" applyBorder="1"/>
    <xf numFmtId="41" fontId="23" fillId="4" borderId="17" xfId="1" applyFont="1" applyFill="1" applyBorder="1"/>
    <xf numFmtId="0" fontId="17" fillId="0" borderId="17" xfId="0" applyFont="1" applyBorder="1"/>
    <xf numFmtId="0" fontId="23" fillId="0" borderId="17" xfId="0" applyFont="1" applyBorder="1"/>
    <xf numFmtId="41" fontId="17" fillId="0" borderId="17" xfId="1" applyFont="1" applyBorder="1"/>
    <xf numFmtId="41" fontId="0" fillId="0" borderId="17" xfId="1" applyFont="1" applyBorder="1"/>
    <xf numFmtId="0" fontId="0" fillId="0" borderId="17" xfId="0" applyBorder="1" applyAlignment="1">
      <alignment horizontal="center"/>
    </xf>
    <xf numFmtId="0" fontId="20" fillId="5" borderId="11" xfId="0" applyFont="1" applyFill="1" applyBorder="1"/>
    <xf numFmtId="0" fontId="20" fillId="5" borderId="6" xfId="0" applyFont="1" applyFill="1" applyBorder="1"/>
    <xf numFmtId="0" fontId="20" fillId="5" borderId="7" xfId="0" applyFont="1" applyFill="1" applyBorder="1"/>
    <xf numFmtId="0" fontId="20" fillId="5" borderId="6" xfId="0" applyFont="1" applyFill="1" applyBorder="1" applyAlignment="1">
      <alignment horizontal="center"/>
    </xf>
    <xf numFmtId="0" fontId="23" fillId="4" borderId="17" xfId="0" applyFont="1" applyFill="1" applyBorder="1" applyAlignment="1">
      <alignment horizontal="center"/>
    </xf>
    <xf numFmtId="0" fontId="17" fillId="0" borderId="17" xfId="0" applyFont="1" applyBorder="1" applyAlignment="1">
      <alignment horizontal="center"/>
    </xf>
    <xf numFmtId="166" fontId="17" fillId="0" borderId="4" xfId="2" applyNumberFormat="1" applyFont="1" applyFill="1" applyBorder="1"/>
    <xf numFmtId="41" fontId="23" fillId="0" borderId="0" xfId="0" applyNumberFormat="1" applyFont="1"/>
    <xf numFmtId="0" fontId="0" fillId="0" borderId="6" xfId="0" applyBorder="1" applyAlignment="1">
      <alignment horizontal="center"/>
    </xf>
    <xf numFmtId="0" fontId="17" fillId="0" borderId="18" xfId="0" applyFont="1" applyBorder="1"/>
    <xf numFmtId="0" fontId="0" fillId="0" borderId="18" xfId="0" applyBorder="1"/>
    <xf numFmtId="0" fontId="3" fillId="5" borderId="6" xfId="0" applyFont="1" applyFill="1" applyBorder="1" applyAlignment="1">
      <alignment horizontal="center" vertical="center"/>
    </xf>
    <xf numFmtId="0" fontId="14" fillId="0" borderId="17" xfId="0" applyFont="1" applyBorder="1"/>
    <xf numFmtId="0" fontId="17" fillId="0" borderId="18" xfId="0" applyFont="1" applyBorder="1" applyAlignment="1">
      <alignment horizontal="center"/>
    </xf>
    <xf numFmtId="0" fontId="14" fillId="0" borderId="18" xfId="0" applyFont="1" applyBorder="1"/>
    <xf numFmtId="41" fontId="17" fillId="0" borderId="18" xfId="1" applyFont="1" applyBorder="1"/>
    <xf numFmtId="0" fontId="0" fillId="0" borderId="18" xfId="0" applyBorder="1" applyAlignment="1">
      <alignment horizontal="center"/>
    </xf>
    <xf numFmtId="41" fontId="0" fillId="0" borderId="18" xfId="1" applyFont="1" applyBorder="1"/>
    <xf numFmtId="0" fontId="0" fillId="3" borderId="6" xfId="0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 wrapText="1"/>
    </xf>
    <xf numFmtId="0" fontId="4" fillId="3" borderId="0" xfId="4" applyFill="1"/>
    <xf numFmtId="166" fontId="5" fillId="3" borderId="4" xfId="1" applyNumberFormat="1" applyFont="1" applyFill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19" xfId="0" applyFont="1" applyBorder="1"/>
    <xf numFmtId="0" fontId="20" fillId="5" borderId="5" xfId="0" applyFont="1" applyFill="1" applyBorder="1"/>
    <xf numFmtId="0" fontId="5" fillId="3" borderId="4" xfId="0" quotePrefix="1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167" fontId="7" fillId="0" borderId="9" xfId="0" applyNumberFormat="1" applyFont="1" applyBorder="1" applyAlignment="1">
      <alignment horizontal="center" vertical="center"/>
    </xf>
    <xf numFmtId="168" fontId="7" fillId="0" borderId="9" xfId="0" applyNumberFormat="1" applyFont="1" applyBorder="1" applyAlignment="1">
      <alignment horizontal="center" vertical="center"/>
    </xf>
    <xf numFmtId="168" fontId="7" fillId="0" borderId="9" xfId="2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left" vertical="center" wrapText="1"/>
    </xf>
    <xf numFmtId="168" fontId="5" fillId="0" borderId="0" xfId="0" applyNumberFormat="1" applyFont="1"/>
    <xf numFmtId="168" fontId="4" fillId="0" borderId="0" xfId="4" applyNumberFormat="1"/>
    <xf numFmtId="168" fontId="5" fillId="0" borderId="0" xfId="1" applyNumberFormat="1" applyFont="1"/>
    <xf numFmtId="168" fontId="0" fillId="0" borderId="0" xfId="0" applyNumberFormat="1" applyAlignment="1">
      <alignment horizontal="center"/>
    </xf>
    <xf numFmtId="0" fontId="17" fillId="3" borderId="4" xfId="0" applyFont="1" applyFill="1" applyBorder="1" applyAlignment="1">
      <alignment horizontal="center" vertical="center"/>
    </xf>
    <xf numFmtId="166" fontId="17" fillId="3" borderId="4" xfId="0" applyNumberFormat="1" applyFont="1" applyFill="1" applyBorder="1"/>
    <xf numFmtId="0" fontId="7" fillId="0" borderId="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19" fillId="0" borderId="4" xfId="0" applyFont="1" applyBorder="1" applyAlignment="1">
      <alignment horizontal="left" vertical="center"/>
    </xf>
    <xf numFmtId="167" fontId="19" fillId="0" borderId="4" xfId="0" applyNumberFormat="1" applyFont="1" applyBorder="1" applyAlignment="1">
      <alignment horizontal="center" vertical="center"/>
    </xf>
    <xf numFmtId="168" fontId="19" fillId="0" borderId="4" xfId="2" applyNumberFormat="1" applyFont="1" applyFill="1" applyBorder="1" applyAlignment="1">
      <alignment horizontal="right" vertical="center"/>
    </xf>
    <xf numFmtId="0" fontId="19" fillId="0" borderId="4" xfId="0" applyFont="1" applyBorder="1" applyAlignment="1">
      <alignment horizontal="left" vertical="center" wrapText="1"/>
    </xf>
    <xf numFmtId="165" fontId="19" fillId="0" borderId="4" xfId="0" quotePrefix="1" applyNumberFormat="1" applyFont="1" applyBorder="1" applyAlignment="1">
      <alignment horizontal="left" vertical="center"/>
    </xf>
    <xf numFmtId="167" fontId="19" fillId="0" borderId="4" xfId="0" quotePrefix="1" applyNumberFormat="1" applyFont="1" applyBorder="1" applyAlignment="1">
      <alignment horizontal="center" vertical="center"/>
    </xf>
    <xf numFmtId="168" fontId="19" fillId="7" borderId="4" xfId="1" applyNumberFormat="1" applyFont="1" applyFill="1" applyBorder="1" applyAlignment="1">
      <alignment horizontal="right" vertical="center"/>
    </xf>
    <xf numFmtId="10" fontId="18" fillId="7" borderId="4" xfId="3" applyNumberFormat="1" applyFont="1" applyFill="1" applyBorder="1" applyAlignment="1">
      <alignment horizontal="center" vertical="center"/>
    </xf>
    <xf numFmtId="168" fontId="19" fillId="0" borderId="4" xfId="2" applyNumberFormat="1" applyFont="1" applyBorder="1" applyAlignment="1">
      <alignment horizontal="right" vertical="center"/>
    </xf>
    <xf numFmtId="0" fontId="19" fillId="0" borderId="4" xfId="0" quotePrefix="1" applyFont="1" applyBorder="1" applyAlignment="1">
      <alignment horizontal="left" vertical="center"/>
    </xf>
    <xf numFmtId="0" fontId="28" fillId="0" borderId="4" xfId="0" applyFont="1" applyBorder="1" applyAlignment="1">
      <alignment horizontal="left" vertical="center" wrapText="1"/>
    </xf>
    <xf numFmtId="170" fontId="19" fillId="3" borderId="4" xfId="2" applyNumberFormat="1" applyFont="1" applyFill="1" applyBorder="1" applyAlignment="1">
      <alignment horizontal="right" vertical="center"/>
    </xf>
    <xf numFmtId="168" fontId="19" fillId="3" borderId="4" xfId="2" applyNumberFormat="1" applyFont="1" applyFill="1" applyBorder="1" applyAlignment="1">
      <alignment horizontal="right" vertical="center"/>
    </xf>
    <xf numFmtId="0" fontId="19" fillId="0" borderId="4" xfId="0" applyFont="1" applyBorder="1" applyAlignment="1">
      <alignment vertical="center"/>
    </xf>
    <xf numFmtId="166" fontId="19" fillId="0" borderId="4" xfId="0" applyNumberFormat="1" applyFont="1" applyBorder="1" applyAlignment="1">
      <alignment horizontal="left" vertical="center"/>
    </xf>
    <xf numFmtId="0" fontId="19" fillId="0" borderId="4" xfId="0" quotePrefix="1" applyFont="1" applyBorder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/>
    </xf>
    <xf numFmtId="167" fontId="19" fillId="2" borderId="4" xfId="0" applyNumberFormat="1" applyFont="1" applyFill="1" applyBorder="1" applyAlignment="1">
      <alignment horizontal="center" vertical="center"/>
    </xf>
    <xf numFmtId="168" fontId="19" fillId="0" borderId="4" xfId="1" applyNumberFormat="1" applyFont="1" applyBorder="1" applyAlignment="1">
      <alignment horizontal="right" vertical="center"/>
    </xf>
    <xf numFmtId="41" fontId="18" fillId="3" borderId="4" xfId="1" applyFont="1" applyFill="1" applyBorder="1" applyAlignment="1">
      <alignment horizontal="center" vertical="center"/>
    </xf>
    <xf numFmtId="10" fontId="11" fillId="0" borderId="0" xfId="3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3" borderId="0" xfId="0" applyNumberFormat="1" applyFill="1" applyAlignment="1">
      <alignment horizontal="center" vertical="center"/>
    </xf>
    <xf numFmtId="168" fontId="25" fillId="0" borderId="4" xfId="0" applyNumberFormat="1" applyFont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168" fontId="5" fillId="0" borderId="4" xfId="2" applyNumberFormat="1" applyFont="1" applyFill="1" applyBorder="1" applyAlignment="1">
      <alignment horizontal="center" vertical="center"/>
    </xf>
    <xf numFmtId="170" fontId="5" fillId="0" borderId="4" xfId="1" applyNumberFormat="1" applyFont="1" applyFill="1" applyBorder="1" applyAlignment="1">
      <alignment horizontal="right" vertical="center"/>
    </xf>
    <xf numFmtId="170" fontId="16" fillId="0" borderId="4" xfId="0" applyNumberFormat="1" applyFont="1" applyBorder="1"/>
    <xf numFmtId="168" fontId="10" fillId="0" borderId="4" xfId="2" applyNumberFormat="1" applyFont="1" applyFill="1" applyBorder="1" applyAlignment="1">
      <alignment horizontal="center" vertical="center"/>
    </xf>
    <xf numFmtId="171" fontId="16" fillId="0" borderId="4" xfId="0" applyNumberFormat="1" applyFont="1" applyBorder="1"/>
    <xf numFmtId="170" fontId="5" fillId="0" borderId="4" xfId="0" applyNumberFormat="1" applyFont="1" applyBorder="1" applyAlignment="1">
      <alignment horizontal="right" vertical="center"/>
    </xf>
    <xf numFmtId="172" fontId="10" fillId="0" borderId="4" xfId="0" applyNumberFormat="1" applyFont="1" applyBorder="1"/>
    <xf numFmtId="168" fontId="19" fillId="3" borderId="4" xfId="0" applyNumberFormat="1" applyFont="1" applyFill="1" applyBorder="1" applyAlignment="1">
      <alignment horizontal="right" vertical="center"/>
    </xf>
    <xf numFmtId="41" fontId="2" fillId="0" borderId="0" xfId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7" fillId="4" borderId="4" xfId="0" applyFont="1" applyFill="1" applyBorder="1" applyAlignment="1">
      <alignment horizontal="center" vertical="center"/>
    </xf>
    <xf numFmtId="166" fontId="17" fillId="4" borderId="4" xfId="0" applyNumberFormat="1" applyFont="1" applyFill="1" applyBorder="1"/>
    <xf numFmtId="0" fontId="18" fillId="0" borderId="4" xfId="0" applyFont="1" applyBorder="1" applyAlignment="1" applyProtection="1">
      <alignment horizontal="center" vertical="center" wrapText="1"/>
      <protection locked="0"/>
    </xf>
    <xf numFmtId="41" fontId="18" fillId="0" borderId="4" xfId="1" applyFont="1" applyBorder="1" applyAlignment="1" applyProtection="1">
      <alignment horizontal="left" vertical="center"/>
    </xf>
    <xf numFmtId="0" fontId="18" fillId="0" borderId="4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left"/>
      <protection locked="0"/>
    </xf>
    <xf numFmtId="166" fontId="18" fillId="0" borderId="4" xfId="2" applyNumberFormat="1" applyFont="1" applyBorder="1" applyProtection="1">
      <protection locked="0"/>
    </xf>
    <xf numFmtId="41" fontId="18" fillId="0" borderId="4" xfId="1" applyFont="1" applyBorder="1" applyAlignment="1" applyProtection="1">
      <alignment horizontal="center"/>
      <protection locked="0"/>
    </xf>
    <xf numFmtId="0" fontId="18" fillId="0" borderId="4" xfId="0" applyFont="1" applyBorder="1" applyAlignment="1">
      <alignment horizontal="center" vertical="center" wrapText="1"/>
    </xf>
    <xf numFmtId="41" fontId="17" fillId="0" borderId="4" xfId="1" applyFont="1" applyBorder="1" applyAlignment="1">
      <alignment horizontal="center"/>
    </xf>
    <xf numFmtId="41" fontId="17" fillId="0" borderId="4" xfId="1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top" wrapText="1"/>
    </xf>
    <xf numFmtId="0" fontId="17" fillId="2" borderId="4" xfId="0" applyFont="1" applyFill="1" applyBorder="1" applyAlignment="1">
      <alignment horizontal="left" vertical="top"/>
    </xf>
    <xf numFmtId="166" fontId="17" fillId="0" borderId="4" xfId="0" applyNumberFormat="1" applyFont="1" applyBorder="1" applyAlignment="1">
      <alignment vertical="top"/>
    </xf>
    <xf numFmtId="0" fontId="17" fillId="2" borderId="4" xfId="0" applyFont="1" applyFill="1" applyBorder="1"/>
    <xf numFmtId="0" fontId="17" fillId="2" borderId="4" xfId="0" applyFont="1" applyFill="1" applyBorder="1" applyAlignment="1">
      <alignment horizontal="left"/>
    </xf>
    <xf numFmtId="0" fontId="18" fillId="0" borderId="4" xfId="0" applyFont="1" applyBorder="1" applyAlignment="1">
      <alignment horizontal="center"/>
    </xf>
    <xf numFmtId="168" fontId="17" fillId="0" borderId="4" xfId="0" applyNumberFormat="1" applyFont="1" applyBorder="1" applyAlignment="1">
      <alignment horizontal="right"/>
    </xf>
    <xf numFmtId="0" fontId="17" fillId="4" borderId="4" xfId="0" applyFont="1" applyFill="1" applyBorder="1" applyAlignment="1">
      <alignment horizontal="center"/>
    </xf>
    <xf numFmtId="0" fontId="18" fillId="0" borderId="4" xfId="1" applyNumberFormat="1" applyFont="1" applyFill="1" applyBorder="1" applyAlignment="1">
      <alignment horizontal="left" vertical="center"/>
    </xf>
    <xf numFmtId="168" fontId="17" fillId="3" borderId="4" xfId="0" applyNumberFormat="1" applyFont="1" applyFill="1" applyBorder="1" applyAlignment="1">
      <alignment horizontal="right"/>
    </xf>
    <xf numFmtId="0" fontId="17" fillId="9" borderId="4" xfId="0" applyFont="1" applyFill="1" applyBorder="1" applyAlignment="1">
      <alignment horizontal="center"/>
    </xf>
    <xf numFmtId="0" fontId="18" fillId="0" borderId="4" xfId="0" applyFont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168" fontId="17" fillId="4" borderId="4" xfId="0" applyNumberFormat="1" applyFont="1" applyFill="1" applyBorder="1" applyAlignment="1">
      <alignment horizontal="right"/>
    </xf>
    <xf numFmtId="0" fontId="17" fillId="3" borderId="4" xfId="0" applyFont="1" applyFill="1" applyBorder="1" applyAlignment="1">
      <alignment horizontal="center"/>
    </xf>
    <xf numFmtId="0" fontId="18" fillId="3" borderId="4" xfId="1" applyNumberFormat="1" applyFont="1" applyFill="1" applyBorder="1" applyAlignment="1">
      <alignment horizontal="left" vertical="center"/>
    </xf>
    <xf numFmtId="0" fontId="17" fillId="3" borderId="4" xfId="0" applyFont="1" applyFill="1" applyBorder="1"/>
    <xf numFmtId="0" fontId="17" fillId="3" borderId="4" xfId="0" applyFont="1" applyFill="1" applyBorder="1" applyAlignment="1">
      <alignment horizontal="left"/>
    </xf>
    <xf numFmtId="168" fontId="18" fillId="0" borderId="4" xfId="0" applyNumberFormat="1" applyFont="1" applyBorder="1" applyAlignment="1">
      <alignment horizontal="right"/>
    </xf>
    <xf numFmtId="0" fontId="31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left"/>
    </xf>
    <xf numFmtId="168" fontId="17" fillId="2" borderId="4" xfId="0" applyNumberFormat="1" applyFont="1" applyFill="1" applyBorder="1" applyAlignment="1">
      <alignment horizontal="right"/>
    </xf>
    <xf numFmtId="166" fontId="17" fillId="2" borderId="4" xfId="0" applyNumberFormat="1" applyFont="1" applyFill="1" applyBorder="1"/>
    <xf numFmtId="41" fontId="17" fillId="0" borderId="4" xfId="1" applyFont="1" applyBorder="1" applyAlignment="1">
      <alignment horizontal="left"/>
    </xf>
    <xf numFmtId="41" fontId="17" fillId="0" borderId="4" xfId="1" applyFont="1" applyBorder="1" applyAlignment="1">
      <alignment horizontal="left" wrapText="1"/>
    </xf>
    <xf numFmtId="0" fontId="17" fillId="0" borderId="4" xfId="0" applyFont="1" applyBorder="1" applyAlignment="1">
      <alignment horizontal="left" vertical="top"/>
    </xf>
    <xf numFmtId="41" fontId="17" fillId="0" borderId="4" xfId="1" applyFont="1" applyBorder="1" applyAlignment="1">
      <alignment horizontal="left" vertical="top" wrapText="1"/>
    </xf>
    <xf numFmtId="0" fontId="17" fillId="0" borderId="4" xfId="0" applyFont="1" applyBorder="1" applyAlignment="1">
      <alignment vertical="top"/>
    </xf>
    <xf numFmtId="0" fontId="18" fillId="0" borderId="4" xfId="0" applyFont="1" applyBorder="1" applyAlignment="1">
      <alignment horizontal="left" vertical="top"/>
    </xf>
    <xf numFmtId="41" fontId="18" fillId="4" borderId="4" xfId="1" applyFont="1" applyFill="1" applyBorder="1" applyAlignment="1" applyProtection="1">
      <alignment horizontal="left" vertical="center"/>
    </xf>
    <xf numFmtId="0" fontId="18" fillId="4" borderId="4" xfId="0" applyFont="1" applyFill="1" applyBorder="1" applyAlignment="1">
      <alignment horizontal="left"/>
    </xf>
    <xf numFmtId="41" fontId="18" fillId="3" borderId="4" xfId="1" applyFont="1" applyFill="1" applyBorder="1" applyAlignment="1" applyProtection="1">
      <alignment horizontal="left" vertical="center"/>
    </xf>
    <xf numFmtId="0" fontId="18" fillId="3" borderId="4" xfId="0" applyFont="1" applyFill="1" applyBorder="1" applyAlignment="1">
      <alignment horizontal="left"/>
    </xf>
    <xf numFmtId="0" fontId="18" fillId="0" borderId="4" xfId="1" applyNumberFormat="1" applyFont="1" applyBorder="1" applyAlignment="1">
      <alignment horizontal="left" vertical="center"/>
    </xf>
    <xf numFmtId="0" fontId="18" fillId="2" borderId="4" xfId="0" applyFont="1" applyFill="1" applyBorder="1" applyAlignment="1">
      <alignment horizontal="left"/>
    </xf>
    <xf numFmtId="164" fontId="18" fillId="0" borderId="4" xfId="2" applyNumberFormat="1" applyFont="1" applyBorder="1" applyAlignment="1" applyProtection="1">
      <alignment horizontal="left"/>
      <protection locked="0"/>
    </xf>
    <xf numFmtId="164" fontId="17" fillId="0" borderId="4" xfId="0" applyNumberFormat="1" applyFont="1" applyBorder="1" applyAlignment="1">
      <alignment horizontal="left"/>
    </xf>
    <xf numFmtId="164" fontId="17" fillId="0" borderId="4" xfId="2" applyNumberFormat="1" applyFont="1" applyBorder="1" applyAlignment="1">
      <alignment horizontal="left"/>
    </xf>
    <xf numFmtId="164" fontId="17" fillId="0" borderId="4" xfId="2" applyNumberFormat="1" applyFont="1" applyFill="1" applyBorder="1" applyAlignment="1">
      <alignment horizontal="left"/>
    </xf>
    <xf numFmtId="164" fontId="17" fillId="2" borderId="4" xfId="0" applyNumberFormat="1" applyFont="1" applyFill="1" applyBorder="1" applyAlignment="1">
      <alignment horizontal="left"/>
    </xf>
    <xf numFmtId="164" fontId="17" fillId="2" borderId="4" xfId="0" applyNumberFormat="1" applyFont="1" applyFill="1" applyBorder="1" applyAlignment="1">
      <alignment horizontal="left" vertical="top"/>
    </xf>
    <xf numFmtId="164" fontId="17" fillId="4" borderId="4" xfId="0" applyNumberFormat="1" applyFont="1" applyFill="1" applyBorder="1" applyAlignment="1">
      <alignment horizontal="left"/>
    </xf>
    <xf numFmtId="164" fontId="17" fillId="3" borderId="4" xfId="0" applyNumberFormat="1" applyFont="1" applyFill="1" applyBorder="1" applyAlignment="1">
      <alignment horizontal="left"/>
    </xf>
    <xf numFmtId="164" fontId="17" fillId="0" borderId="4" xfId="2" applyNumberFormat="1" applyFont="1" applyBorder="1" applyAlignment="1">
      <alignment horizontal="left" vertical="top"/>
    </xf>
    <xf numFmtId="164" fontId="17" fillId="4" borderId="4" xfId="2" applyNumberFormat="1" applyFont="1" applyFill="1" applyBorder="1" applyAlignment="1">
      <alignment horizontal="left"/>
    </xf>
    <xf numFmtId="168" fontId="18" fillId="0" borderId="4" xfId="2" applyNumberFormat="1" applyFont="1" applyBorder="1" applyAlignment="1" applyProtection="1">
      <alignment horizontal="right"/>
      <protection locked="0"/>
    </xf>
    <xf numFmtId="168" fontId="17" fillId="0" borderId="4" xfId="2" applyNumberFormat="1" applyFont="1" applyBorder="1" applyAlignment="1">
      <alignment horizontal="right"/>
    </xf>
    <xf numFmtId="168" fontId="18" fillId="0" borderId="4" xfId="2" applyNumberFormat="1" applyFont="1" applyBorder="1" applyAlignment="1">
      <alignment horizontal="right"/>
    </xf>
    <xf numFmtId="168" fontId="17" fillId="2" borderId="4" xfId="0" applyNumberFormat="1" applyFont="1" applyFill="1" applyBorder="1" applyAlignment="1">
      <alignment horizontal="right" vertical="top"/>
    </xf>
    <xf numFmtId="168" fontId="17" fillId="0" borderId="4" xfId="2" applyNumberFormat="1" applyFont="1" applyBorder="1" applyAlignment="1">
      <alignment horizontal="right" vertical="top"/>
    </xf>
    <xf numFmtId="2" fontId="5" fillId="0" borderId="0" xfId="0" applyNumberFormat="1" applyFont="1" applyAlignment="1">
      <alignment horizontal="left"/>
    </xf>
    <xf numFmtId="0" fontId="3" fillId="5" borderId="7" xfId="0" applyFont="1" applyFill="1" applyBorder="1" applyAlignment="1">
      <alignment horizontal="left" vertical="center"/>
    </xf>
    <xf numFmtId="0" fontId="5" fillId="0" borderId="22" xfId="0" applyFont="1" applyBorder="1"/>
    <xf numFmtId="0" fontId="5" fillId="0" borderId="20" xfId="0" applyFont="1" applyBorder="1"/>
    <xf numFmtId="0" fontId="3" fillId="5" borderId="14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center" vertical="center" wrapText="1"/>
    </xf>
    <xf numFmtId="168" fontId="3" fillId="5" borderId="9" xfId="0" applyNumberFormat="1" applyFont="1" applyFill="1" applyBorder="1" applyAlignment="1">
      <alignment horizontal="center" vertical="center"/>
    </xf>
    <xf numFmtId="0" fontId="29" fillId="0" borderId="4" xfId="0" applyFont="1" applyBorder="1" applyAlignment="1" applyProtection="1">
      <alignment horizontal="center" vertical="center"/>
      <protection locked="0"/>
    </xf>
    <xf numFmtId="41" fontId="18" fillId="0" borderId="4" xfId="1" applyFont="1" applyBorder="1" applyAlignment="1" applyProtection="1">
      <alignment horizontal="left"/>
      <protection locked="0"/>
    </xf>
    <xf numFmtId="0" fontId="30" fillId="0" borderId="4" xfId="4" applyFont="1" applyBorder="1"/>
    <xf numFmtId="41" fontId="17" fillId="0" borderId="4" xfId="1" applyFont="1" applyFill="1" applyBorder="1" applyAlignment="1">
      <alignment horizontal="left"/>
    </xf>
    <xf numFmtId="166" fontId="17" fillId="0" borderId="4" xfId="0" applyNumberFormat="1" applyFont="1" applyBorder="1" applyAlignment="1">
      <alignment horizontal="center"/>
    </xf>
    <xf numFmtId="0" fontId="17" fillId="9" borderId="4" xfId="0" applyFont="1" applyFill="1" applyBorder="1" applyAlignment="1">
      <alignment horizontal="center" wrapText="1"/>
    </xf>
    <xf numFmtId="0" fontId="17" fillId="9" borderId="4" xfId="0" applyFont="1" applyFill="1" applyBorder="1" applyAlignment="1">
      <alignment horizontal="left" wrapText="1"/>
    </xf>
    <xf numFmtId="0" fontId="30" fillId="4" borderId="4" xfId="4" applyFont="1" applyFill="1" applyBorder="1"/>
    <xf numFmtId="0" fontId="17" fillId="9" borderId="4" xfId="0" applyFont="1" applyFill="1" applyBorder="1" applyAlignment="1">
      <alignment horizontal="left"/>
    </xf>
    <xf numFmtId="0" fontId="17" fillId="0" borderId="4" xfId="0" applyFont="1" applyBorder="1" applyAlignment="1">
      <alignment horizontal="left" vertical="top" wrapText="1"/>
    </xf>
    <xf numFmtId="0" fontId="31" fillId="3" borderId="4" xfId="0" applyFont="1" applyFill="1" applyBorder="1" applyAlignment="1">
      <alignment horizontal="left" wrapText="1"/>
    </xf>
    <xf numFmtId="41" fontId="17" fillId="0" borderId="4" xfId="1" applyFont="1" applyBorder="1" applyAlignment="1">
      <alignment horizontal="left" vertical="top"/>
    </xf>
    <xf numFmtId="0" fontId="30" fillId="0" borderId="4" xfId="4" applyFont="1" applyBorder="1" applyAlignment="1">
      <alignment vertical="top"/>
    </xf>
    <xf numFmtId="164" fontId="0" fillId="3" borderId="4" xfId="0" applyNumberFormat="1" applyFill="1" applyBorder="1" applyAlignment="1">
      <alignment horizontal="left"/>
    </xf>
    <xf numFmtId="0" fontId="30" fillId="0" borderId="4" xfId="4" applyFont="1" applyFill="1" applyBorder="1"/>
    <xf numFmtId="170" fontId="17" fillId="0" borderId="4" xfId="0" applyNumberFormat="1" applyFont="1" applyBorder="1" applyAlignment="1">
      <alignment horizontal="right"/>
    </xf>
    <xf numFmtId="166" fontId="0" fillId="0" borderId="4" xfId="0" applyNumberFormat="1" applyBorder="1"/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9" xfId="1" applyNumberFormat="1" applyFont="1" applyBorder="1" applyAlignment="1">
      <alignment horizontal="left" vertical="center"/>
    </xf>
    <xf numFmtId="0" fontId="18" fillId="0" borderId="9" xfId="0" applyFont="1" applyBorder="1" applyAlignment="1">
      <alignment horizontal="left"/>
    </xf>
    <xf numFmtId="164" fontId="17" fillId="0" borderId="9" xfId="2" applyNumberFormat="1" applyFont="1" applyBorder="1" applyAlignment="1">
      <alignment horizontal="left"/>
    </xf>
    <xf numFmtId="168" fontId="17" fillId="0" borderId="9" xfId="2" applyNumberFormat="1" applyFont="1" applyBorder="1" applyAlignment="1">
      <alignment horizontal="right"/>
    </xf>
    <xf numFmtId="166" fontId="17" fillId="0" borderId="9" xfId="2" applyNumberFormat="1" applyFont="1" applyBorder="1"/>
    <xf numFmtId="41" fontId="17" fillId="0" borderId="9" xfId="1" applyFont="1" applyBorder="1" applyAlignment="1">
      <alignment horizontal="center"/>
    </xf>
    <xf numFmtId="0" fontId="17" fillId="0" borderId="9" xfId="0" applyFont="1" applyBorder="1" applyAlignment="1">
      <alignment horizontal="left"/>
    </xf>
    <xf numFmtId="0" fontId="17" fillId="0" borderId="9" xfId="0" applyFont="1" applyBorder="1"/>
    <xf numFmtId="0" fontId="18" fillId="0" borderId="9" xfId="0" applyFont="1" applyBorder="1"/>
    <xf numFmtId="168" fontId="0" fillId="3" borderId="4" xfId="0" applyNumberFormat="1" applyFill="1" applyBorder="1" applyAlignment="1">
      <alignment horizontal="right"/>
    </xf>
    <xf numFmtId="0" fontId="7" fillId="0" borderId="9" xfId="0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/>
    </xf>
    <xf numFmtId="0" fontId="19" fillId="0" borderId="4" xfId="0" quotePrefix="1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19" fillId="0" borderId="4" xfId="0" quotePrefix="1" applyFont="1" applyBorder="1" applyAlignment="1">
      <alignment horizontal="center" vertical="center"/>
    </xf>
    <xf numFmtId="0" fontId="5" fillId="3" borderId="4" xfId="0" quotePrefix="1" applyFont="1" applyFill="1" applyBorder="1" applyAlignment="1">
      <alignment horizontal="center" vertical="center"/>
    </xf>
    <xf numFmtId="168" fontId="17" fillId="16" borderId="4" xfId="2" applyNumberFormat="1" applyFont="1" applyFill="1" applyBorder="1" applyAlignment="1">
      <alignment horizontal="right"/>
    </xf>
    <xf numFmtId="0" fontId="0" fillId="0" borderId="0" xfId="0" pivotButton="1"/>
    <xf numFmtId="168" fontId="0" fillId="16" borderId="4" xfId="2" applyNumberFormat="1" applyFont="1" applyFill="1" applyBorder="1" applyAlignment="1">
      <alignment horizontal="right"/>
    </xf>
    <xf numFmtId="168" fontId="17" fillId="17" borderId="4" xfId="2" applyNumberFormat="1" applyFont="1" applyFill="1" applyBorder="1" applyAlignment="1">
      <alignment horizontal="right"/>
    </xf>
    <xf numFmtId="168" fontId="0" fillId="17" borderId="4" xfId="2" applyNumberFormat="1" applyFont="1" applyFill="1" applyBorder="1" applyAlignment="1">
      <alignment horizontal="right"/>
    </xf>
    <xf numFmtId="164" fontId="0" fillId="0" borderId="4" xfId="2" applyNumberFormat="1" applyFont="1" applyBorder="1" applyAlignment="1">
      <alignment horizontal="left"/>
    </xf>
    <xf numFmtId="0" fontId="0" fillId="0" borderId="4" xfId="0" applyBorder="1" applyAlignment="1">
      <alignment horizontal="center" vertical="top"/>
    </xf>
    <xf numFmtId="41" fontId="0" fillId="0" borderId="4" xfId="1" applyFont="1" applyBorder="1" applyAlignment="1">
      <alignment horizontal="center"/>
    </xf>
    <xf numFmtId="41" fontId="0" fillId="0" borderId="4" xfId="1" applyFont="1" applyBorder="1" applyAlignment="1">
      <alignment horizontal="left"/>
    </xf>
    <xf numFmtId="168" fontId="17" fillId="3" borderId="4" xfId="2" applyNumberFormat="1" applyFont="1" applyFill="1" applyBorder="1" applyAlignment="1">
      <alignment horizontal="right"/>
    </xf>
    <xf numFmtId="168" fontId="0" fillId="18" borderId="4" xfId="2" applyNumberFormat="1" applyFont="1" applyFill="1" applyBorder="1" applyAlignment="1">
      <alignment horizontal="right"/>
    </xf>
    <xf numFmtId="0" fontId="4" fillId="0" borderId="4" xfId="4" applyBorder="1" applyAlignment="1">
      <alignment vertical="top"/>
    </xf>
    <xf numFmtId="0" fontId="17" fillId="0" borderId="0" xfId="0" applyFont="1" applyAlignment="1">
      <alignment vertical="top"/>
    </xf>
    <xf numFmtId="0" fontId="18" fillId="0" borderId="0" xfId="0" applyFont="1"/>
    <xf numFmtId="0" fontId="17" fillId="3" borderId="0" xfId="0" applyFont="1" applyFill="1"/>
    <xf numFmtId="0" fontId="17" fillId="2" borderId="0" xfId="0" applyFont="1" applyFill="1"/>
    <xf numFmtId="0" fontId="18" fillId="0" borderId="23" xfId="0" applyFont="1" applyBorder="1"/>
    <xf numFmtId="0" fontId="18" fillId="0" borderId="21" xfId="0" applyFont="1" applyBorder="1"/>
    <xf numFmtId="0" fontId="32" fillId="0" borderId="0" xfId="0" applyFont="1"/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41" fontId="11" fillId="0" borderId="0" xfId="1" applyFont="1" applyAlignment="1">
      <alignment horizontal="center"/>
    </xf>
    <xf numFmtId="41" fontId="11" fillId="0" borderId="0" xfId="1" applyFont="1" applyAlignment="1">
      <alignment horizontal="right"/>
    </xf>
    <xf numFmtId="41" fontId="18" fillId="0" borderId="9" xfId="1" applyFont="1" applyBorder="1" applyAlignment="1" applyProtection="1">
      <alignment horizontal="left" vertical="center"/>
    </xf>
    <xf numFmtId="0" fontId="18" fillId="2" borderId="9" xfId="0" applyFont="1" applyFill="1" applyBorder="1" applyAlignment="1">
      <alignment horizontal="left" vertical="top"/>
    </xf>
    <xf numFmtId="164" fontId="17" fillId="2" borderId="9" xfId="0" applyNumberFormat="1" applyFont="1" applyFill="1" applyBorder="1" applyAlignment="1">
      <alignment horizontal="left"/>
    </xf>
    <xf numFmtId="168" fontId="17" fillId="2" borderId="9" xfId="0" applyNumberFormat="1" applyFont="1" applyFill="1" applyBorder="1" applyAlignment="1">
      <alignment horizontal="right"/>
    </xf>
    <xf numFmtId="166" fontId="17" fillId="0" borderId="9" xfId="0" applyNumberFormat="1" applyFont="1" applyBorder="1"/>
    <xf numFmtId="0" fontId="17" fillId="0" borderId="9" xfId="0" applyFont="1" applyBorder="1" applyAlignment="1">
      <alignment horizontal="center"/>
    </xf>
    <xf numFmtId="164" fontId="17" fillId="0" borderId="9" xfId="0" applyNumberFormat="1" applyFont="1" applyBorder="1" applyAlignment="1">
      <alignment horizontal="left"/>
    </xf>
    <xf numFmtId="168" fontId="17" fillId="0" borderId="9" xfId="0" applyNumberFormat="1" applyFont="1" applyBorder="1" applyAlignment="1">
      <alignment horizontal="right"/>
    </xf>
    <xf numFmtId="0" fontId="17" fillId="0" borderId="9" xfId="0" applyFont="1" applyBorder="1" applyAlignment="1">
      <alignment horizontal="center" vertical="top"/>
    </xf>
    <xf numFmtId="173" fontId="0" fillId="0" borderId="4" xfId="1" applyNumberFormat="1" applyFont="1" applyBorder="1"/>
    <xf numFmtId="168" fontId="5" fillId="3" borderId="0" xfId="2" applyNumberFormat="1" applyFont="1" applyFill="1" applyBorder="1" applyAlignment="1">
      <alignment horizontal="right" vertical="center"/>
    </xf>
    <xf numFmtId="168" fontId="5" fillId="0" borderId="0" xfId="2" applyNumberFormat="1" applyFont="1" applyFill="1" applyBorder="1" applyAlignment="1">
      <alignment horizontal="right" vertical="center"/>
    </xf>
    <xf numFmtId="164" fontId="17" fillId="2" borderId="4" xfId="0" applyNumberFormat="1" applyFont="1" applyFill="1" applyBorder="1" applyAlignment="1">
      <alignment horizontal="left" vertical="center"/>
    </xf>
    <xf numFmtId="168" fontId="17" fillId="0" borderId="4" xfId="0" applyNumberFormat="1" applyFont="1" applyBorder="1" applyAlignment="1">
      <alignment horizontal="right" vertical="center"/>
    </xf>
    <xf numFmtId="166" fontId="17" fillId="0" borderId="4" xfId="0" applyNumberFormat="1" applyFont="1" applyBorder="1" applyAlignment="1">
      <alignment vertical="center"/>
    </xf>
    <xf numFmtId="0" fontId="0" fillId="3" borderId="2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4" xfId="0" applyFill="1" applyBorder="1" applyAlignment="1">
      <alignment vertical="center"/>
    </xf>
    <xf numFmtId="0" fontId="5" fillId="3" borderId="4" xfId="0" applyFont="1" applyFill="1" applyBorder="1" applyAlignment="1">
      <alignment horizontal="left" vertical="center"/>
    </xf>
    <xf numFmtId="173" fontId="0" fillId="0" borderId="0" xfId="1" applyNumberFormat="1" applyFont="1" applyBorder="1"/>
    <xf numFmtId="41" fontId="0" fillId="0" borderId="0" xfId="1" applyFont="1" applyBorder="1"/>
    <xf numFmtId="0" fontId="18" fillId="3" borderId="4" xfId="1" applyNumberFormat="1" applyFont="1" applyFill="1" applyBorder="1" applyAlignment="1">
      <alignment horizontal="left" vertical="center" wrapText="1"/>
    </xf>
    <xf numFmtId="0" fontId="18" fillId="3" borderId="4" xfId="0" applyFont="1" applyFill="1" applyBorder="1"/>
    <xf numFmtId="0" fontId="0" fillId="3" borderId="4" xfId="0" applyFill="1" applyBorder="1" applyAlignment="1">
      <alignment horizontal="center" vertical="center"/>
    </xf>
    <xf numFmtId="41" fontId="5" fillId="3" borderId="4" xfId="1" applyFont="1" applyFill="1" applyBorder="1" applyAlignment="1">
      <alignment horizontal="left" vertical="center"/>
    </xf>
    <xf numFmtId="42" fontId="0" fillId="0" borderId="0" xfId="0" applyNumberFormat="1"/>
    <xf numFmtId="0" fontId="33" fillId="0" borderId="0" xfId="0" applyFont="1"/>
    <xf numFmtId="0" fontId="10" fillId="0" borderId="0" xfId="0" applyFont="1"/>
    <xf numFmtId="0" fontId="17" fillId="3" borderId="17" xfId="0" applyFont="1" applyFill="1" applyBorder="1"/>
    <xf numFmtId="0" fontId="0" fillId="3" borderId="17" xfId="0" applyFill="1" applyBorder="1"/>
    <xf numFmtId="0" fontId="14" fillId="3" borderId="17" xfId="0" applyFont="1" applyFill="1" applyBorder="1"/>
    <xf numFmtId="0" fontId="17" fillId="3" borderId="17" xfId="0" applyFont="1" applyFill="1" applyBorder="1" applyAlignment="1">
      <alignment horizontal="center"/>
    </xf>
    <xf numFmtId="41" fontId="17" fillId="3" borderId="17" xfId="1" applyFont="1" applyFill="1" applyBorder="1"/>
    <xf numFmtId="0" fontId="17" fillId="3" borderId="18" xfId="0" applyFont="1" applyFill="1" applyBorder="1"/>
    <xf numFmtId="0" fontId="0" fillId="3" borderId="18" xfId="0" applyFill="1" applyBorder="1"/>
    <xf numFmtId="0" fontId="14" fillId="3" borderId="18" xfId="0" applyFont="1" applyFill="1" applyBorder="1"/>
    <xf numFmtId="0" fontId="17" fillId="3" borderId="18" xfId="0" applyFont="1" applyFill="1" applyBorder="1" applyAlignment="1">
      <alignment horizontal="center"/>
    </xf>
    <xf numFmtId="41" fontId="17" fillId="3" borderId="18" xfId="1" applyFont="1" applyFill="1" applyBorder="1"/>
    <xf numFmtId="0" fontId="0" fillId="3" borderId="18" xfId="0" applyFill="1" applyBorder="1" applyAlignment="1">
      <alignment horizontal="center"/>
    </xf>
    <xf numFmtId="41" fontId="0" fillId="3" borderId="18" xfId="1" applyFont="1" applyFill="1" applyBorder="1"/>
    <xf numFmtId="0" fontId="23" fillId="3" borderId="17" xfId="0" applyFont="1" applyFill="1" applyBorder="1"/>
    <xf numFmtId="0" fontId="34" fillId="0" borderId="4" xfId="0" applyFont="1" applyBorder="1" applyAlignment="1">
      <alignment horizontal="center" vertical="center"/>
    </xf>
    <xf numFmtId="41" fontId="34" fillId="0" borderId="4" xfId="1" applyFont="1" applyBorder="1" applyAlignment="1" applyProtection="1">
      <alignment horizontal="left" vertical="center"/>
    </xf>
    <xf numFmtId="0" fontId="34" fillId="2" borderId="9" xfId="0" applyFont="1" applyFill="1" applyBorder="1" applyAlignment="1">
      <alignment horizontal="left" vertical="top"/>
    </xf>
    <xf numFmtId="0" fontId="34" fillId="0" borderId="9" xfId="0" applyFont="1" applyBorder="1" applyAlignment="1">
      <alignment horizontal="center" vertical="center"/>
    </xf>
    <xf numFmtId="0" fontId="34" fillId="0" borderId="9" xfId="0" applyFont="1" applyBorder="1" applyAlignment="1">
      <alignment horizontal="left"/>
    </xf>
    <xf numFmtId="164" fontId="34" fillId="0" borderId="9" xfId="0" applyNumberFormat="1" applyFont="1" applyBorder="1" applyAlignment="1">
      <alignment horizontal="left"/>
    </xf>
    <xf numFmtId="168" fontId="34" fillId="0" borderId="9" xfId="0" applyNumberFormat="1" applyFont="1" applyBorder="1" applyAlignment="1">
      <alignment horizontal="right"/>
    </xf>
    <xf numFmtId="166" fontId="34" fillId="0" borderId="9" xfId="0" applyNumberFormat="1" applyFont="1" applyBorder="1"/>
    <xf numFmtId="0" fontId="34" fillId="4" borderId="4" xfId="0" applyFont="1" applyFill="1" applyBorder="1" applyAlignment="1">
      <alignment horizontal="center"/>
    </xf>
    <xf numFmtId="0" fontId="34" fillId="0" borderId="9" xfId="0" applyFont="1" applyBorder="1"/>
    <xf numFmtId="0" fontId="34" fillId="0" borderId="0" xfId="0" applyFont="1"/>
    <xf numFmtId="0" fontId="5" fillId="0" borderId="0" xfId="0" applyFont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10" fontId="5" fillId="0" borderId="6" xfId="0" applyNumberFormat="1" applyFont="1" applyFill="1" applyBorder="1" applyAlignment="1">
      <alignment horizontal="right" vertic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0" xfId="0" applyAlignment="1"/>
    <xf numFmtId="0" fontId="0" fillId="0" borderId="11" xfId="0" applyBorder="1" applyAlignment="1"/>
    <xf numFmtId="0" fontId="27" fillId="0" borderId="4" xfId="0" applyFont="1" applyBorder="1" applyAlignment="1">
      <alignment horizontal="left" vertical="center"/>
    </xf>
    <xf numFmtId="41" fontId="18" fillId="0" borderId="4" xfId="1" applyFont="1" applyBorder="1" applyAlignment="1">
      <alignment horizontal="left" vertical="center"/>
    </xf>
    <xf numFmtId="0" fontId="17" fillId="0" borderId="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11" fillId="0" borderId="0" xfId="0" applyFont="1" applyAlignment="1">
      <alignment horizontal="center" vertical="center"/>
    </xf>
  </cellXfs>
  <cellStyles count="5">
    <cellStyle name="Comma [0]" xfId="1" builtinId="6"/>
    <cellStyle name="Currency [0]" xfId="2" builtinId="7"/>
    <cellStyle name="Hyperlink" xfId="4" builtinId="8"/>
    <cellStyle name="Normal" xfId="0" builtinId="0"/>
    <cellStyle name="Percent" xfId="3" builtinId="5"/>
  </cellStyles>
  <dxfs count="210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horizontal="center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(* #,##0_);_(* \(#,##0\);_(* &quot;-&quot;??_);_(@_)"/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(* #,##0_);_(* \(#,##0\);_(* &quot;-&quot;??_);_(@_)"/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(* #,##0_);_(* \(#,##0\);_(* &quot;-&quot;??_);_(@_)"/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[$Rp-421]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(* #,##0_);_(* \(#,##0\);_(* &quot;-&quot;??_);_(@_)"/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8" formatCode="[$Rp-421]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8" formatCode="[$Rp-421]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8" formatCode="[$Rp-421]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13809]d\ mmm\ yyyy;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13809]d\ mmm\ yyyy;@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13809]d\ mmm\ 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strike val="0"/>
        <outline val="0"/>
        <shadow val="0"/>
        <vertAlign val="baseline"/>
        <sz val="1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Aptos Narrow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6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4" formatCode="&quot;Rp&quot;#,##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[$Rp-421]#,##0.00"/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(* #,##0.00_);_(* \(#,##0.00\);_(* &quot;-&quot;??_);_(@_)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(* #,##0.00_);_(* \(#,##0.00\);_(* &quot;-&quot;??_);_(@_)"/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1"/>
        <color auto="1"/>
        <name val="Aptos Narrow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color auto="1"/>
        <name val="Aptos Narrow"/>
        <scheme val="minor"/>
      </font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Aptos Narrow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0"/>
        <strike val="0"/>
        <outline val="0"/>
        <shadow val="0"/>
        <vertAlign val="baseline"/>
        <sz val="1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strike val="0"/>
        <outline val="0"/>
        <shadow val="0"/>
        <vertAlign val="baseline"/>
        <sz val="1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  <border diagonalUp="0" diagonalDown="0">
        <left style="thin">
          <color indexed="64"/>
        </left>
        <top/>
        <bottom/>
      </border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  <border diagonalUp="0" diagonalDown="0">
        <left style="thin">
          <color indexed="64"/>
        </left>
        <top/>
        <bottom/>
      </border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  <border diagonalUp="0" diagonalDown="0">
        <left style="thin">
          <color indexed="64"/>
        </left>
        <top/>
        <bottom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2" defaultTableStyle="TableStyleMedium2" defaultPivotStyle="PivotStyleLight16">
    <tableStyle name="Gaya Tabel 1" pivot="0" count="0" xr9:uid="{0A994F72-F9F3-6742-99CE-7B9F1C29DA02}"/>
    <tableStyle name="Gaya Tabel 2" pivot="0" count="0" xr9:uid="{50DE545A-D673-9941-8800-E144225B3540}"/>
  </tableStyles>
  <colors>
    <mruColors>
      <color rgb="FFFAB6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[DETAIL REALISASI.xlsx]Pivot!PivotTable2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Project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 cap="flat" cmpd="sng" algn="ctr">
            <a:solidFill>
              <a:schemeClr val="lt1"/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 cap="flat" cmpd="sng" algn="ctr">
            <a:solidFill>
              <a:schemeClr val="lt1"/>
            </a:solidFill>
            <a:prstDash val="solid"/>
            <a:miter lim="800000"/>
          </a:ln>
          <a:effectLst/>
        </c:spPr>
      </c:pivotFmt>
      <c:pivotFmt>
        <c:idx val="2"/>
        <c:spPr>
          <a:solidFill>
            <a:schemeClr val="accent4"/>
          </a:solidFill>
          <a:ln w="25400" cap="flat" cmpd="sng" algn="ctr">
            <a:solidFill>
              <a:schemeClr val="lt1"/>
            </a:solidFill>
            <a:prstDash val="solid"/>
            <a:miter lim="800000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Pivot!$B$11</c:f>
              <c:strCache>
                <c:ptCount val="1"/>
                <c:pt idx="0">
                  <c:v>Count of Project Name</c:v>
                </c:pt>
              </c:strCache>
            </c:strRef>
          </c:tx>
          <c:spPr>
            <a:solidFill>
              <a:schemeClr val="accent1"/>
            </a:solidFill>
            <a:ln w="25400" cap="flat" cmpd="sng" algn="ctr">
              <a:solidFill>
                <a:schemeClr val="lt1"/>
              </a:solidFill>
              <a:prstDash val="solid"/>
              <a:miter lim="800000"/>
            </a:ln>
            <a:effectLst/>
          </c:spPr>
          <c:dPt>
            <c:idx val="0"/>
            <c:bubble3D val="0"/>
            <c:explosion val="5"/>
            <c:spPr>
              <a:solidFill>
                <a:schemeClr val="accent1"/>
              </a:solidFill>
              <a:ln w="2540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10-0743-BB7A-0406D41B6EF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10-0743-BB7A-0406D41B6EF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Pivot!$A$12:$A$14</c:f>
              <c:strCache>
                <c:ptCount val="2"/>
                <c:pt idx="0">
                  <c:v>CLOSED</c:v>
                </c:pt>
                <c:pt idx="1">
                  <c:v>ON GOING</c:v>
                </c:pt>
              </c:strCache>
            </c:strRef>
          </c:cat>
          <c:val>
            <c:numRef>
              <c:f>Pivot!$B$12:$B$14</c:f>
              <c:numCache>
                <c:formatCode>General</c:formatCode>
                <c:ptCount val="2"/>
                <c:pt idx="0">
                  <c:v>14</c:v>
                </c:pt>
                <c:pt idx="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0-0743-BB7A-0406D41B6EF8}"/>
            </c:ext>
          </c:extLst>
        </c:ser>
        <c:ser>
          <c:idx val="1"/>
          <c:order val="1"/>
          <c:tx>
            <c:strRef>
              <c:f>Pivot!$C$11</c:f>
              <c:strCache>
                <c:ptCount val="1"/>
                <c:pt idx="0">
                  <c:v>Sum of Project_Value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AB-4879-A551-88EF359D17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AB-4879-A551-88EF359D17D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Pivot!$A$12:$A$14</c:f>
              <c:strCache>
                <c:ptCount val="2"/>
                <c:pt idx="0">
                  <c:v>CLOSED</c:v>
                </c:pt>
                <c:pt idx="1">
                  <c:v>ON GOING</c:v>
                </c:pt>
              </c:strCache>
            </c:strRef>
          </c:cat>
          <c:val>
            <c:numRef>
              <c:f>Pivot!$C$12:$C$14</c:f>
              <c:numCache>
                <c:formatCode>_("Rp"* #,##0_);_("Rp"* \(#,##0\);_("Rp"* "-"_);_(@_)</c:formatCode>
                <c:ptCount val="2"/>
                <c:pt idx="0">
                  <c:v>8736265942.8888893</c:v>
                </c:pt>
                <c:pt idx="1">
                  <c:v>300598710347.30206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0-0743-BB7A-0406D41B6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14653</xdr:colOff>
      <xdr:row>0</xdr:row>
      <xdr:rowOff>20515</xdr:rowOff>
    </xdr:from>
    <xdr:to>
      <xdr:col>7</xdr:col>
      <xdr:colOff>434730</xdr:colOff>
      <xdr:row>14</xdr:row>
      <xdr:rowOff>28330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55CF3796-7329-19B8-1FEF-A8627A35F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0437184-4024-47FC-BC31-7E6B52D58895}">
    <nsvFilter filterId="{B93294E3-DCA3-CE41-A5D6-37B935A6A0A7}" ref="B6:O625" tableId="2">
      <columnFilter colId="2" id="{7A624527-9442-C64D-A6FF-C76A0C01E8E3}">
        <filter colId="2">
          <x:filters>
            <x:filter val="PHE RADIO KOMUNIKASI"/>
          </x:filters>
        </filter>
      </columnFilter>
    </nsvFilter>
  </namedSheetView>
  <namedSheetView name="View2" id="{21D79513-3884-444B-B993-865BF297470D}">
    <nsvFilter filterId="{B93294E3-DCA3-CE41-A5D6-37B935A6A0A7}" ref="B6:O625" tableId="2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1789A417-7E3C-40B6-A023-C6C52CF2BB8F}">
    <nsvFilter filterId="{9848D944-28E4-4050-A325-522763E454DF}" ref="A2:V239" tableId="1">
      <columnFilter colId="1" id="{3F3971A2-DECA-4ED1-B2D8-E9C2225BBACE}">
        <filter colId="1">
          <x:filters>
            <x:filter val="2026"/>
            <x:filter val="2027"/>
            <x:filter val="2028"/>
            <x:filter val="2029"/>
          </x:filters>
        </filter>
      </columnFilter>
    </nsvFilter>
  </namedSheetView>
  <namedSheetView name="View2" id="{317F51F5-7D94-4E95-A8A9-D55798D01F58}">
    <nsvFilter filterId="{9848D944-28E4-4050-A325-522763E454DF}" ref="A2:V239" tableId="1"/>
  </namedSheetView>
  <namedSheetView name="View3" id="{F02E8BF2-D122-4958-B422-708BCF218196}">
    <nsvFilter filterId="{9848D944-28E4-4050-A325-522763E454DF}" ref="A2:V239" tableId="1"/>
  </namedSheetView>
  <namedSheetView name="View4" id="{7690DE51-84DE-4A4B-8C0E-BEFA549CA82C}">
    <nsvFilter filterId="{9848D944-28E4-4050-A325-522763E454DF}" ref="A2:V239" tableId="1"/>
  </namedSheetView>
  <namedSheetView name="View5" id="{15ECD26B-0487-4115-9BD6-EDFE70861C36}">
    <nsvFilter filterId="{9848D944-28E4-4050-A325-522763E454DF}" ref="A2:V239" tableId="1"/>
  </namedSheetView>
  <namedSheetView name="View6" id="{583A6B9A-D753-4C4D-A7A6-0E3159EFC14F}">
    <nsvFilter filterId="{9848D944-28E4-4050-A325-522763E454DF}" ref="A2:V239" tableId="1">
      <columnFilter colId="6" id="{5F24F94A-0879-4370-BD8F-6C2FEB16D2D5}">
        <filter colId="6">
          <x:filters>
            <x:filter val="Pekerjaan Jasa Operasi dan Pemeliharaan Terintegrasi Gas Management System (PJOPTGMS)"/>
          </x:filters>
        </filter>
      </columnFilter>
    </nsvFilter>
  </namedSheetView>
  <namedSheetView name="View7" id="{5BAC127E-3DC1-4B41-AA71-19FDA10E3236}">
    <nsvFilter filterId="{9848D944-28E4-4050-A325-522763E454DF}" ref="A2:V239" tableId="1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Ulfa Izza Aprilla" id="{10A36B8B-66F5-3E4E-B31A-DFF9CD4F6FC7}" userId="S::ulfa.aprilla@pgncom.co.id::88a6e034-ae00-4d37-87c3-93a5e36bf6e0" providerId="AD"/>
  <person displayName="Ellysabeth Sukma Ratna Benery" id="{D962A201-B0A2-46B1-9CFB-0D51AB22C19C}" userId="S::ellysabeth.sukma@pgncom.co.id::67dcbaca-0099-4a33-9076-a9901f2ff66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Fikar" refreshedDate="46239.433799305552" createdVersion="8" refreshedVersion="8" minRefreshableVersion="3" recordCount="237" xr:uid="{49B7957F-54CA-4945-B232-DE8DFD453444}">
  <cacheSource type="worksheet">
    <worksheetSource name="tProjectsMaster212"/>
  </cacheSource>
  <cacheFields count="22">
    <cacheField name="Project_ID" numFmtId="0">
      <sharedItems containsBlank="1"/>
    </cacheField>
    <cacheField name="Year" numFmtId="0">
      <sharedItems containsString="0" containsBlank="1" containsNumber="1" containsInteger="1" minValue="2021" maxValue="2029" count="10">
        <n v="2025"/>
        <n v="2026"/>
        <n v="2027"/>
        <n v="2023"/>
        <n v="2024"/>
        <n v="2022"/>
        <n v="2028"/>
        <n v="2029"/>
        <n v="2021"/>
        <m/>
      </sharedItems>
    </cacheField>
    <cacheField name="Status" numFmtId="0">
      <sharedItems containsBlank="1" count="4">
        <s v="CLOSED"/>
        <s v="ON GOING"/>
        <s v="FUTURE"/>
        <m/>
      </sharedItems>
    </cacheField>
    <cacheField name="Service Manager " numFmtId="0">
      <sharedItems containsBlank="1"/>
    </cacheField>
    <cacheField name="Project_client" numFmtId="0">
      <sharedItems containsBlank="1"/>
    </cacheField>
    <cacheField name="Project clasification" numFmtId="0">
      <sharedItems containsBlank="1"/>
    </cacheField>
    <cacheField name="Project Name" numFmtId="0">
      <sharedItems containsBlank="1"/>
    </cacheField>
    <cacheField name="Contract Number" numFmtId="0">
      <sharedItems containsBlank="1" containsMixedTypes="1" containsNumber="1" containsInteger="1" minValue="3900012063" maxValue="4710003974"/>
    </cacheField>
    <cacheField name="Category Contract" numFmtId="0">
      <sharedItems containsBlank="1"/>
    </cacheField>
    <cacheField name="Skema" numFmtId="0">
      <sharedItems containsBlank="1" count="3">
        <s v="Back2Back"/>
        <s v="Inhouse"/>
        <m/>
      </sharedItems>
    </cacheField>
    <cacheField name="Date of Contract" numFmtId="167">
      <sharedItems containsDate="1" containsBlank="1" containsMixedTypes="1" minDate="2021-01-29T00:00:00" maxDate="2026-07-16T00:00:00"/>
    </cacheField>
    <cacheField name="Start Date" numFmtId="167">
      <sharedItems containsNonDate="0" containsDate="1" containsString="0" containsBlank="1" minDate="2021-01-29T00:00:00" maxDate="2029-01-02T00:00:00"/>
    </cacheField>
    <cacheField name="End Date" numFmtId="167">
      <sharedItems containsNonDate="0" containsDate="1" containsString="0" containsBlank="1" minDate="2021-12-31T00:00:00" maxDate="2030-01-01T00:00:00"/>
    </cacheField>
    <cacheField name="Project_Value" numFmtId="0">
      <sharedItems containsBlank="1" containsMixedTypes="1" containsNumber="1" minValue="0" maxValue="59000000000.400009"/>
    </cacheField>
    <cacheField name="Costbased" numFmtId="0">
      <sharedItems containsBlank="1" containsMixedTypes="1" containsNumber="1" minValue="0" maxValue="51530901364"/>
    </cacheField>
    <cacheField name="Actual Cost konfirmasi " numFmtId="0">
      <sharedItems containsBlank="1" containsMixedTypes="1" containsNumber="1" minValue="0" maxValue="51100707359"/>
    </cacheField>
    <cacheField name="Actual cost (admin)" numFmtId="0">
      <sharedItems containsString="0" containsBlank="1" containsNumber="1" minValue="0" maxValue="38590702719"/>
    </cacheField>
    <cacheField name="Persentase" numFmtId="0">
      <sharedItems containsBlank="1" containsMixedTypes="1" containsNumber="1" minValue="0" maxValue="13.5"/>
    </cacheField>
    <cacheField name="Amandemen" numFmtId="0">
      <sharedItems containsBlank="1"/>
    </cacheField>
    <cacheField name="TKDN" numFmtId="0">
      <sharedItems containsBlank="1" containsMixedTypes="1" containsNumber="1" minValue="1E-4" maxValue="0.97019999999999995"/>
    </cacheField>
    <cacheField name="Description" numFmtId="0">
      <sharedItems containsBlank="1"/>
    </cacheField>
    <cacheField name="Resource Manage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s v="BS-005"/>
    <x v="0"/>
    <x v="0"/>
    <s v="TITA"/>
    <s v="SAKA"/>
    <s v="MRC"/>
    <s v="Pengadaan Sewa Aplikasi Absensi Online (Bimasakti)"/>
    <n v="4500615890"/>
    <s v="Kontrak Tunggal"/>
    <x v="0"/>
    <d v="2025-04-01T00:00:00"/>
    <d v="2025-03-20T00:00:00"/>
    <d v="2025-12-31T00:00:00"/>
    <n v="29250000"/>
    <n v="24000000"/>
    <n v="0"/>
    <m/>
    <n v="0"/>
    <m/>
    <m/>
    <m/>
    <m/>
  </r>
  <r>
    <s v="BS-005"/>
    <x v="1"/>
    <x v="0"/>
    <s v="TITA"/>
    <s v="SAKA"/>
    <s v="MRC"/>
    <s v="Pengadaan Sewa Aplikasi Absensi Online (Bimasakti)"/>
    <n v="4500615890"/>
    <s v="Kontrak Tunggal"/>
    <x v="0"/>
    <d v="2025-04-01T00:00:00"/>
    <d v="2026-01-01T00:00:00"/>
    <d v="2026-03-19T00:00:00"/>
    <n v="9750000"/>
    <n v="0"/>
    <n v="24000000"/>
    <n v="0"/>
    <e v="#DIV/0!"/>
    <m/>
    <m/>
    <m/>
    <m/>
  </r>
  <r>
    <s v="MS-016"/>
    <x v="0"/>
    <x v="0"/>
    <s v="TITA"/>
    <s v="GGS"/>
    <s v="MRC"/>
    <s v="Pengadaan Sewa Aplikasi Absensi Online (Bimasakti)"/>
    <s v="034102.SPK/LG.01/GEI-32/2025"/>
    <s v="Kontrak Tunggal"/>
    <x v="0"/>
    <d v="2025-10-03T00:00:00"/>
    <d v="2025-10-03T00:00:00"/>
    <d v="2025-12-31T00:00:00"/>
    <n v="13056000"/>
    <n v="0"/>
    <n v="0"/>
    <m/>
    <e v="#DIV/0!"/>
    <m/>
    <m/>
    <m/>
    <m/>
  </r>
  <r>
    <s v="MS-016"/>
    <x v="1"/>
    <x v="1"/>
    <s v="TITA"/>
    <s v="GGS"/>
    <s v="MRC"/>
    <s v="Pengadaan Sewa Aplikasi Absensi Online (Bimasakti)"/>
    <s v="034102.SPK/LG.01/GEI-32/2025"/>
    <s v="Kontrak Tunggal"/>
    <x v="0"/>
    <d v="2025-10-03T00:00:00"/>
    <d v="2026-01-01T00:00:00"/>
    <d v="2026-12-31T00:00:00"/>
    <n v="0"/>
    <n v="7680000"/>
    <n v="7680000"/>
    <n v="0"/>
    <n v="0"/>
    <m/>
    <m/>
    <m/>
    <m/>
  </r>
  <r>
    <s v="MS-016"/>
    <x v="2"/>
    <x v="2"/>
    <s v="TITA"/>
    <s v="GGS"/>
    <s v="MRC"/>
    <s v="Pengadaan Sewa Aplikasi Absensi Online (Bimasakti)"/>
    <s v="034102.SPK/LG.01/GEI-32/2025"/>
    <s v="Kontrak Tunggal"/>
    <x v="0"/>
    <d v="2025-10-03T00:00:00"/>
    <d v="2027-01-01T00:00:00"/>
    <d v="2027-10-02T00:00:00"/>
    <n v="0"/>
    <n v="0"/>
    <n v="0"/>
    <m/>
    <e v="#DIV/0!"/>
    <m/>
    <m/>
    <m/>
    <m/>
  </r>
  <r>
    <s v="MS-019"/>
    <x v="0"/>
    <x v="0"/>
    <s v="SANDI "/>
    <s v="PLI"/>
    <s v="MRC"/>
    <s v="Jasa Pemeliharaan Sistem Kontrol dan Telekomunikasi Offtake Station (OTS) &amp; Onshore Receiving Facilities (ORF) 2025-2026"/>
    <s v="00500.PKS/HK/PGNCOM/IV/2025"/>
    <s v="Kontrak Tunggal"/>
    <x v="1"/>
    <d v="2025-03-03T00:00:00"/>
    <d v="2025-04-01T00:00:00"/>
    <d v="2025-12-31T00:00:00"/>
    <n v="1365030000"/>
    <n v="731211608"/>
    <m/>
    <m/>
    <n v="0"/>
    <m/>
    <n v="0.79"/>
    <m/>
    <m/>
  </r>
  <r>
    <s v="MS-019"/>
    <x v="1"/>
    <x v="0"/>
    <s v="SANDI "/>
    <s v="PLI"/>
    <s v="MRC"/>
    <s v="Jasa Pemeliharaan Sistem Kontrol dan Telekomunikasi Offtake Station (OTS) &amp; Onshore Receiving Facilities (ORF) 2025-2026"/>
    <s v="00500.PKS/HK/PGNCOM/IV/2025"/>
    <s v="Kontrak Tunggal"/>
    <x v="1"/>
    <d v="2025-03-03T00:00:00"/>
    <d v="2026-01-01T00:00:00"/>
    <d v="2026-03-31T00:00:00"/>
    <n v="455010000"/>
    <n v="365605804"/>
    <m/>
    <n v="219742521.39999998"/>
    <n v="0.6010367422941677"/>
    <m/>
    <n v="0.79"/>
    <m/>
    <m/>
  </r>
  <r>
    <s v="MS-020"/>
    <x v="3"/>
    <x v="0"/>
    <s v="TAUFAN "/>
    <s v="NR"/>
    <s v="MRC"/>
    <s v="Jasa Layanan Radio Komunikasi - Trunking"/>
    <s v="004/NR/B000/P/2023"/>
    <s v="Kontrak Tunggal"/>
    <x v="1"/>
    <d v="2023-05-08T00:00:00"/>
    <d v="2023-04-01T00:00:00"/>
    <d v="2023-12-31T00:00:00"/>
    <n v="266688000"/>
    <n v="222138117"/>
    <m/>
    <m/>
    <n v="0"/>
    <s v="Adendum I (1 April 2025)"/>
    <m/>
    <s v="1. Awal : 355.584.000_x000a_2. Perpanjangan-1 : 336.120.000_x000a_3. Perpanjangan-2 : 295.440.000"/>
    <m/>
  </r>
  <r>
    <s v="MS-020"/>
    <x v="4"/>
    <x v="0"/>
    <s v="TAUFAN "/>
    <s v="NR"/>
    <s v="MRC"/>
    <s v="Jasa Layanan Radio Komunikasi - Trunking"/>
    <s v="004/NR/B000/P/2023"/>
    <s v="Kontrak Tunggal"/>
    <x v="1"/>
    <d v="2023-05-08T00:00:00"/>
    <d v="2024-01-01T00:00:00"/>
    <d v="2024-12-31T00:00:00"/>
    <n v="340986000"/>
    <n v="296184156"/>
    <m/>
    <m/>
    <n v="0"/>
    <s v="Adendum I (1 April 2025)"/>
    <m/>
    <s v="1. Awal : 355.584.000_x000a_2. Perpanjangan-1 : 336.120.000_x000a_3. Perpanjangan-2 : 295.440.000"/>
    <m/>
  </r>
  <r>
    <s v="MS-020"/>
    <x v="0"/>
    <x v="0"/>
    <s v="TAUFAN "/>
    <s v="NR"/>
    <s v="MRC"/>
    <s v="Jasa Layanan Radio Komunikasi - Trunking"/>
    <s v="004/NR/B000/P/2023"/>
    <s v="Kontrak Tunggal"/>
    <x v="1"/>
    <d v="2023-05-08T00:00:00"/>
    <d v="2025-01-01T00:00:00"/>
    <d v="2025-12-31T00:00:00"/>
    <n v="305610000"/>
    <n v="22478134.25"/>
    <m/>
    <m/>
    <n v="0"/>
    <s v="Adendum I (1 April 2025)"/>
    <m/>
    <s v="1. Awal : 355.584.000_x000a_2. Perpanjangan-1 : 336.120.000_x000a_3. Perpanjangan-2 : 295.440.000"/>
    <m/>
  </r>
  <r>
    <s v="MS-020"/>
    <x v="1"/>
    <x v="0"/>
    <s v="TAUFAN "/>
    <s v="NR"/>
    <s v="MRC"/>
    <s v="Jasa Layanan Radio Komunikasi - Trunking"/>
    <s v="004/NR/B000/P/2023"/>
    <s v="Kontrak Tunggal"/>
    <x v="1"/>
    <d v="2023-05-08T00:00:00"/>
    <d v="2026-01-01T00:00:00"/>
    <d v="2026-03-31T00:00:00"/>
    <n v="73860000"/>
    <n v="5435877"/>
    <m/>
    <n v="33696039"/>
    <n v="6.1988229314239449"/>
    <s v="Adendum I (1 April 2025)"/>
    <m/>
    <s v="1. Awal : 355.584.000_x000a_2. Perpanjangan-1 : 336.120.000_x000a_3. Perpanjangan-2 : 295.440.000"/>
    <m/>
  </r>
  <r>
    <s v="MS-044"/>
    <x v="4"/>
    <x v="0"/>
    <s v="GILANG "/>
    <s v="PTM"/>
    <s v="MRC"/>
    <s v="Penyediaan Layanan Platform Pilot Aplikasi Modern"/>
    <n v="3950379274"/>
    <s v="Kontrak Tunggal"/>
    <x v="0"/>
    <d v="2024-11-11T00:00:00"/>
    <d v="2024-11-11T00:00:00"/>
    <d v="2024-12-31T00:00:00"/>
    <n v="554973164.44444442"/>
    <n v="538706618.44444442"/>
    <m/>
    <m/>
    <n v="0"/>
    <s v="BA-55/I40520/2025-S0 (Amandemen) 14 Juli 2025"/>
    <n v="0.1119"/>
    <m/>
    <m/>
  </r>
  <r>
    <s v="MS-044"/>
    <x v="0"/>
    <x v="0"/>
    <s v="GILANG "/>
    <s v="PTM"/>
    <s v="MRC"/>
    <s v="Penyediaan Layanan Platform Pilot Aplikasi Modern"/>
    <n v="3950379274"/>
    <s v="Kontrak Tunggal"/>
    <x v="0"/>
    <d v="2024-11-11T00:00:00"/>
    <d v="2025-01-01T00:00:00"/>
    <d v="2025-12-31T00:00:00"/>
    <n v="3329838986.6666665"/>
    <n v="3232239710.6666665"/>
    <m/>
    <m/>
    <n v="0"/>
    <s v="BA-55/I40520/2025-S0 (Amandemen) 14 Juli 2025"/>
    <n v="0.1119"/>
    <m/>
    <m/>
  </r>
  <r>
    <s v="MS-044"/>
    <x v="1"/>
    <x v="0"/>
    <s v="GILANG "/>
    <s v="PTM"/>
    <s v="MRC"/>
    <s v="Penyediaan Layanan Platform Pilot Aplikasi Modern"/>
    <n v="3950379274"/>
    <s v="Kontrak Tunggal"/>
    <x v="0"/>
    <d v="2024-11-11T00:00:00"/>
    <d v="2026-01-01T00:00:00"/>
    <d v="2026-05-11T00:00:00"/>
    <n v="1109946328.8888888"/>
    <n v="1077413236.8888888"/>
    <n v="0"/>
    <n v="0"/>
    <n v="0"/>
    <s v="BA-55/I40520/2025-S0 (Amandemen) 14 Juli 2025"/>
    <n v="0.1119"/>
    <m/>
    <m/>
  </r>
  <r>
    <s v="MS-047"/>
    <x v="0"/>
    <x v="0"/>
    <m/>
    <s v="PGN"/>
    <s v="WO"/>
    <s v="Layanan Pengelolaan Aplikasi dan Solusi Integrasi Tahun 2025"/>
    <s v="004200.PK/LG.01/ICT/ 2025"/>
    <s v="kontrak Induk"/>
    <x v="1"/>
    <d v="2025-02-18T00:00:00"/>
    <d v="2025-01-01T00:00:00"/>
    <d v="2025-12-31T00:00:00"/>
    <n v="8449020551"/>
    <n v="7790854014.7199993"/>
    <n v="6204017335.8000002"/>
    <m/>
    <n v="0"/>
    <m/>
    <s v="72,84%"/>
    <m/>
    <m/>
  </r>
  <r>
    <s v="MS-081"/>
    <x v="0"/>
    <x v="0"/>
    <s v="SANDI "/>
    <s v="PPN"/>
    <s v="MRC"/>
    <s v="Pekerjaan Sewa Router Untuk Layanan Dual Link SPBU"/>
    <s v="VSO-2025-11-24-118411264/470012416"/>
    <s v="Kontrak Tunggal"/>
    <x v="0"/>
    <d v="2025-11-24T00:00:00"/>
    <d v="2025-12-01T00:00:00"/>
    <d v="2025-12-31T00:00:00"/>
    <n v="380000000"/>
    <n v="0"/>
    <n v="0"/>
    <m/>
    <e v="#DIV/0!"/>
    <m/>
    <m/>
    <m/>
    <m/>
  </r>
  <r>
    <s v="MS-081"/>
    <x v="1"/>
    <x v="0"/>
    <s v="SANDI "/>
    <s v="PPN"/>
    <s v="MRC"/>
    <s v="Pekerjaan Sewa Router Untuk Layanan Dual Link SPBU"/>
    <s v="VSO-2025-11-24-118411264/470012416"/>
    <s v="Kontrak Tunggal"/>
    <x v="0"/>
    <d v="2025-11-24T00:00:00"/>
    <d v="2026-01-01T00:00:00"/>
    <d v="2026-05-31T00:00:00"/>
    <n v="0"/>
    <n v="336000000"/>
    <n v="0"/>
    <n v="297000000"/>
    <n v="0.8839285714285714"/>
    <m/>
    <m/>
    <m/>
    <m/>
  </r>
  <r>
    <s v="MS-115"/>
    <x v="1"/>
    <x v="0"/>
    <m/>
    <s v="PPN"/>
    <s v="OTC"/>
    <s v="Pekerjaan Maintenance CCTV &amp; Infrastruktur PPN MOR1 FT Labuhan Deli"/>
    <s v="VSO-2026-01-08-043538948; VSO-2026-01-08-721977675"/>
    <s v="Kontrak Tunggal"/>
    <x v="1"/>
    <d v="2026-01-08T00:00:00"/>
    <d v="2026-01-08T00:00:00"/>
    <d v="2026-02-20T00:00:00"/>
    <n v="278022094"/>
    <n v="228713674"/>
    <m/>
    <n v="93475716"/>
    <n v="0.40870191259312288"/>
    <m/>
    <m/>
    <m/>
    <m/>
  </r>
  <r>
    <s v="MS-117"/>
    <x v="1"/>
    <x v="1"/>
    <m/>
    <s v="SEML"/>
    <s v="OTC"/>
    <s v="Provision of Document Management System ATS Muara Laboh"/>
    <s v="25000226-OS-10101"/>
    <s v="Kontrak Tunggal"/>
    <x v="2"/>
    <s v="TBC"/>
    <d v="2026-01-01T00:00:00"/>
    <d v="2026-12-31T00:00:00"/>
    <n v="311400178"/>
    <n v="292835553"/>
    <m/>
    <n v="478000000"/>
    <n v="1.6323154586355844"/>
    <m/>
    <n v="0.31190000000000001"/>
    <m/>
    <m/>
  </r>
  <r>
    <s v="MS-118"/>
    <x v="1"/>
    <x v="1"/>
    <m/>
    <s v="SERD"/>
    <s v="OTC"/>
    <s v="Provision of Document Management System ATS Rantau Dedap"/>
    <s v="25000109-OS-10103"/>
    <s v="Kontrak Tunggal"/>
    <x v="2"/>
    <s v="TBC"/>
    <d v="2026-01-01T00:00:00"/>
    <d v="2026-12-31T00:00:00"/>
    <n v="206757730.25"/>
    <n v="195054463"/>
    <m/>
    <n v="0"/>
    <n v="0"/>
    <m/>
    <n v="0.32100000000000001"/>
    <m/>
    <m/>
  </r>
  <r>
    <s v="MS-119"/>
    <x v="1"/>
    <x v="0"/>
    <m/>
    <s v="ESA"/>
    <s v="OTC"/>
    <s v="Pekerjaan BER Test DC Kemendagri"/>
    <s v="080/ESTRADA/WO/IV/2026"/>
    <s v="Kontrak Tunggal"/>
    <x v="1"/>
    <d v="2026-04-24T00:00:00"/>
    <d v="2026-05-05T00:00:00"/>
    <d v="2026-05-07T00:00:00"/>
    <n v="45045045"/>
    <n v="11500000"/>
    <m/>
    <n v="0"/>
    <n v="0"/>
    <m/>
    <m/>
    <m/>
    <m/>
  </r>
  <r>
    <s v="MS-121"/>
    <x v="1"/>
    <x v="0"/>
    <m/>
    <s v="KPI"/>
    <s v="OTC"/>
    <s v="Jasa Pendampingan Surveillance Sertifikasi ISO/IEC 27001:2022 di PT KPI"/>
    <s v="SP-02/KPI72200/2025-SO 3950463946"/>
    <s v="Kontrak Tunggal"/>
    <x v="1"/>
    <d v="2025-11-24T00:00:00"/>
    <d v="2025-11-24T00:00:00"/>
    <d v="2026-06-26T00:00:00"/>
    <n v="933118522"/>
    <n v="861775435"/>
    <m/>
    <n v="420742500"/>
    <n v="0.48822753923126155"/>
    <m/>
    <m/>
    <m/>
    <m/>
  </r>
  <r>
    <s v="PS-000-00"/>
    <x v="1"/>
    <x v="0"/>
    <s v="RIZKY"/>
    <s v="PLI"/>
    <s v="OTC"/>
    <s v="Pengadaan CCTV PT PGN LNG"/>
    <s v="-"/>
    <s v="Kontrak Tunggal"/>
    <x v="1"/>
    <d v="2026-03-31T00:00:00"/>
    <d v="2026-03-31T00:00:00"/>
    <d v="2026-04-20T00:00:00"/>
    <n v="58000000"/>
    <n v="51875534"/>
    <n v="42402648"/>
    <n v="42402648"/>
    <n v="0.81739202915964204"/>
    <m/>
    <m/>
    <s v="Tidak ada PO. Pakai Surat penawaran. Beli putus"/>
    <m/>
  </r>
  <r>
    <s v="PS-001-00"/>
    <x v="5"/>
    <x v="0"/>
    <s v="SANDI "/>
    <s v="PTG"/>
    <s v="MRC"/>
    <s v="Manage Service Layanan Printer, Scanner, Multimedia dan UPS System di PT Pertamina Gas"/>
    <n v="3900524630"/>
    <s v="Kontrak Tunggal"/>
    <x v="0"/>
    <d v="2022-11-01T00:00:00"/>
    <d v="2022-11-01T00:00:00"/>
    <d v="2022-12-31T00:00:00"/>
    <n v="350737587.4285714"/>
    <n v="370644820.28571427"/>
    <m/>
    <m/>
    <n v="0"/>
    <m/>
    <m/>
    <m/>
    <m/>
  </r>
  <r>
    <s v="PS-001-00"/>
    <x v="3"/>
    <x v="0"/>
    <s v="SANDI "/>
    <s v="PTG"/>
    <s v="MRC"/>
    <s v="Manage Service Layanan Printer, Scanner, Multimedia dan UPS System di PT Pertamina Gas"/>
    <n v="3900524630"/>
    <s v="Kontrak Tunggal"/>
    <x v="0"/>
    <d v="2022-11-01T00:00:00"/>
    <d v="2023-01-01T00:00:00"/>
    <d v="2023-12-31T00:00:00"/>
    <n v="1648983458.4880953"/>
    <n v="1598408662.9920635"/>
    <n v="1583331139"/>
    <m/>
    <n v="0"/>
    <s v="Amandemen I No 3900524630 - A1 15 Mei 2023_x000a_Amandemen II No 3900524630 - A2 30 November 2023"/>
    <m/>
    <m/>
    <m/>
  </r>
  <r>
    <s v="PS-001-00"/>
    <x v="4"/>
    <x v="0"/>
    <s v="SANDI "/>
    <s v="PTG"/>
    <s v="MRC"/>
    <s v="Manage Service Layanan Printer, Scanner, Multimedia dan UPS System di PT Pertamina Gas"/>
    <n v="3900524630"/>
    <s v="Kontrak Tunggal"/>
    <x v="0"/>
    <d v="2022-11-01T00:00:00"/>
    <d v="2024-01-01T00:00:00"/>
    <d v="2024-12-31T00:00:00"/>
    <n v="1323667697"/>
    <n v="1151651335.3333333"/>
    <n v="1041755827"/>
    <m/>
    <n v="0"/>
    <s v="Amandemen I No 3900524630 - A1 15 Mei 2023_x000a_Amandemen II No 3900524630 - A2 30 November 2023"/>
    <m/>
    <m/>
    <m/>
  </r>
  <r>
    <s v="PS-001-00"/>
    <x v="0"/>
    <x v="0"/>
    <s v="SANDI "/>
    <s v="PTG"/>
    <s v="MRC"/>
    <s v="Manage Service Layanan Printer, Scanner, Multimedia dan UPS System di PT Pertamina Gas"/>
    <n v="3900524630"/>
    <s v="Kontrak Tunggal"/>
    <x v="0"/>
    <d v="2022-11-01T00:00:00"/>
    <d v="2025-01-01T00:00:00"/>
    <d v="2025-12-31T00:00:00"/>
    <n v="1323667697"/>
    <n v="1151651335.3333333"/>
    <n v="1078919563"/>
    <m/>
    <n v="0"/>
    <s v="Amandemen I No 3900524630 - A1 15 Mei 2023_x000a_Amandemen II No 3900524630 - A2 30 November 2023_x000a_Amandemen III 3900524630 - A3 3 September 2024"/>
    <m/>
    <m/>
    <m/>
  </r>
  <r>
    <s v="PS-001-00"/>
    <x v="1"/>
    <x v="1"/>
    <s v="SANDI "/>
    <s v="PTG"/>
    <s v="MRC"/>
    <s v="Manage Service Layanan Printer, Scanner, Multimedia dan UPS System di PT Pertamina Gas"/>
    <n v="3900524630"/>
    <s v="Kontrak Tunggal"/>
    <x v="0"/>
    <d v="2022-11-01T00:00:00"/>
    <d v="2026-01-01T00:00:00"/>
    <d v="2026-12-31T00:00:00"/>
    <n v="1323667697"/>
    <n v="1151651335.3333333"/>
    <n v="465122754"/>
    <n v="465122754"/>
    <n v="0.40387462744127778"/>
    <s v="Amandemen I No 3900524630 - A1 15 Mei 2023_x000a_Amandemen II No 3900524630 - A2 30 November 2023_x000a_Amandemen III 3900524630 - A3 3 September 2024"/>
    <m/>
    <m/>
    <m/>
  </r>
  <r>
    <s v="PS-001-00"/>
    <x v="2"/>
    <x v="2"/>
    <m/>
    <s v="PTG"/>
    <s v="MRC"/>
    <s v="Manage Service Layanan Printer, Scanner, Multimedia dan UPS System di PT Pertamina Gas"/>
    <n v="3900524630"/>
    <s v="Kontrak Tunggal"/>
    <x v="0"/>
    <d v="2022-11-01T00:00:00"/>
    <d v="2027-01-01T00:00:00"/>
    <d v="2027-05-31T00:00:00"/>
    <n v="551528207.08333337"/>
    <n v="479854723.05555552"/>
    <m/>
    <m/>
    <n v="0"/>
    <s v="Amandemen I No 3900524630 - A1 15 Mei 2023_x000a_Amandemen II No 3900524630 - A2 30 November 2023_x000a_Amandemen III 3900524630 - A3 3 September 2024_x000a_Amandemen IV 3900524630 - A4 8 Juni 2026"/>
    <m/>
    <m/>
    <m/>
  </r>
  <r>
    <s v="PS-003-00"/>
    <x v="4"/>
    <x v="0"/>
    <s v="TITA"/>
    <s v="WDR"/>
    <s v="MRC"/>
    <s v="Pengadaan Sewa Aplikasi Absensi Online (Bimasakti)"/>
    <s v="064900.S/LG.01.01/HCGA-WMN/2024"/>
    <s v="Kontrak Tunggal"/>
    <x v="0"/>
    <d v="2024-06-11T00:00:00"/>
    <d v="2024-06-12T00:00:00"/>
    <d v="2024-12-31T00:00:00"/>
    <n v="1788000"/>
    <n v="0"/>
    <n v="0"/>
    <m/>
    <e v="#DIV/0!"/>
    <s v="068500.SPK/LG.01.01/HCGA-WMN/2024"/>
    <m/>
    <m/>
    <m/>
  </r>
  <r>
    <s v="PS-003-00"/>
    <x v="0"/>
    <x v="0"/>
    <s v="TITA"/>
    <s v="WDR"/>
    <s v="MRC"/>
    <s v="Pengadaan Sewa Aplikasi Absensi Online (Bimasakti)"/>
    <s v="064900.S/LG.01.01/HCGA-WMN/2024"/>
    <s v="Kontrak Tunggal"/>
    <x v="0"/>
    <d v="2024-06-11T00:00:00"/>
    <d v="2025-01-01T00:00:00"/>
    <d v="2025-12-31T00:00:00"/>
    <n v="3576000"/>
    <n v="3840000"/>
    <n v="3840000"/>
    <m/>
    <n v="0"/>
    <s v="068500.SPK/LG.01.01/HCGA-WMN/2024"/>
    <m/>
    <m/>
    <m/>
  </r>
  <r>
    <s v="PS-003-00"/>
    <x v="1"/>
    <x v="0"/>
    <s v="TITA"/>
    <s v="WDR"/>
    <s v="MRC"/>
    <s v="Pengadaan Sewa Aplikasi Absensi Online (Bimasakti)"/>
    <s v="064900.S/LG.01.01/HCGA-WMN/2024"/>
    <s v="Kontrak Tunggal"/>
    <x v="0"/>
    <d v="2024-06-11T00:00:00"/>
    <d v="2026-01-01T00:00:00"/>
    <d v="2026-07-31T00:00:00"/>
    <n v="2086000"/>
    <n v="160000"/>
    <n v="2160000"/>
    <n v="2160000"/>
    <n v="13.5"/>
    <s v="068500.SPK/LG.01.01/HCGA-WMN/2024"/>
    <m/>
    <m/>
    <m/>
  </r>
  <r>
    <s v="PS-004-00"/>
    <x v="3"/>
    <x v="0"/>
    <m/>
    <s v="PTM"/>
    <s v="MRC"/>
    <s v="Pengelolaan &amp; Pengembangan Servicedesk Shared Services Pertamina"/>
    <n v="4650002171"/>
    <s v="Kontrak Tunggal"/>
    <x v="1"/>
    <d v="2023-06-26T00:00:00"/>
    <d v="2023-06-01T00:00:00"/>
    <d v="2023-12-31T00:00:00"/>
    <n v="5427524100"/>
    <n v="5230432186"/>
    <m/>
    <m/>
    <n v="0"/>
    <m/>
    <s v="89,60%"/>
    <m/>
    <m/>
  </r>
  <r>
    <s v="PS-004-00"/>
    <x v="4"/>
    <x v="0"/>
    <m/>
    <s v="PTM"/>
    <s v="MRC"/>
    <s v="Pengelolaan &amp; Pengembangan Servicedesk Shared Services Pertamina"/>
    <n v="4650002171"/>
    <s v="Kontrak Tunggal"/>
    <x v="1"/>
    <d v="2023-06-26T00:00:00"/>
    <d v="2024-01-01T00:00:00"/>
    <d v="2024-12-31T00:00:00"/>
    <n v="10855048200"/>
    <n v="10460864372"/>
    <m/>
    <m/>
    <n v="0"/>
    <m/>
    <s v="89,60%"/>
    <m/>
    <m/>
  </r>
  <r>
    <s v="PS-004-00"/>
    <x v="0"/>
    <x v="0"/>
    <m/>
    <s v="PTM"/>
    <s v="MRC"/>
    <s v="Pengelolaan &amp; Pengembangan Servicedesk Shared Services Pertamina"/>
    <n v="4650002171"/>
    <s v="Kontrak Tunggal"/>
    <x v="1"/>
    <d v="2023-06-26T00:00:00"/>
    <d v="2025-01-01T00:00:00"/>
    <d v="2025-12-31T00:00:00"/>
    <n v="10855048200"/>
    <n v="10460864372"/>
    <m/>
    <m/>
    <n v="0"/>
    <m/>
    <s v="89,60%"/>
    <m/>
    <m/>
  </r>
  <r>
    <s v="PS-004-00"/>
    <x v="1"/>
    <x v="0"/>
    <m/>
    <s v="PTM"/>
    <s v="MRC"/>
    <s v="Pengelolaan &amp; Pengembangan Servicedesk Shared Services Pertamina"/>
    <n v="4650002171"/>
    <s v="Kontrak Tunggal"/>
    <x v="1"/>
    <d v="2023-06-26T00:00:00"/>
    <d v="2026-01-01T00:00:00"/>
    <d v="2026-06-30T00:00:00"/>
    <n v="5427524100"/>
    <n v="5230432186"/>
    <n v="5844708067"/>
    <n v="5844708067"/>
    <n v="1.1174426623184595"/>
    <m/>
    <s v="89,60%"/>
    <m/>
    <m/>
  </r>
  <r>
    <s v="PS-005-00"/>
    <x v="0"/>
    <x v="0"/>
    <s v="SANDI "/>
    <s v="KJG"/>
    <s v="MRC"/>
    <s v="Pengadaan Jasa penyediaan Perangkat Sistem Informasi"/>
    <s v="00354.SPK-LG.01-KJG-2025"/>
    <s v="Kontrak Tunggal"/>
    <x v="1"/>
    <d v="2025-03-13T00:00:00"/>
    <d v="2025-05-05T00:00:00"/>
    <d v="2025-12-31T00:00:00"/>
    <n v="146962000"/>
    <n v="121699312"/>
    <m/>
    <m/>
    <n v="0"/>
    <m/>
    <n v="0.4"/>
    <m/>
    <m/>
  </r>
  <r>
    <s v="PS-005-00"/>
    <x v="1"/>
    <x v="0"/>
    <s v="SANDI "/>
    <s v="KJG"/>
    <s v="MRC"/>
    <s v="Pengadaan Jasa penyediaan Perangkat Sistem Informasi"/>
    <s v="00354.SPK-LG.01-KJG-2025"/>
    <s v="Kontrak Tunggal"/>
    <x v="1"/>
    <d v="2025-03-13T00:00:00"/>
    <d v="2026-01-01T00:00:00"/>
    <d v="2026-08-04T00:00:00"/>
    <n v="65996000"/>
    <n v="55031156"/>
    <n v="30937554"/>
    <n v="30937554"/>
    <n v="0.56218252075242614"/>
    <m/>
    <n v="0.4"/>
    <m/>
    <m/>
  </r>
  <r>
    <s v="PS-006-00"/>
    <x v="4"/>
    <x v="0"/>
    <s v="YIYIP "/>
    <s v="PSOL"/>
    <s v="WO"/>
    <s v="Implementasi Vulnerability Assessment &amp; Penetration Test (VAPT) dan Technical Service Cyber Security"/>
    <s v="000100.Prn/LG.01/MSB/PGAS/VIII/2024 "/>
    <s v="kontrak Induk"/>
    <x v="0"/>
    <d v="2024-08-12T00:00:00"/>
    <d v="2024-08-12T00:00:00"/>
    <d v="2024-12-31T00:00:00"/>
    <n v="38607500"/>
    <n v="38607500"/>
    <n v="32000000"/>
    <m/>
    <n v="0"/>
    <m/>
    <n v="0.89229999999999998"/>
    <m/>
    <m/>
  </r>
  <r>
    <s v="PS-006-00"/>
    <x v="0"/>
    <x v="0"/>
    <s v="YIYIP "/>
    <s v="PSOL"/>
    <s v="WO"/>
    <s v="Implementasi Vulnerability Assessment &amp; Penetration Test (VAPT) dan Technical Service Cyber Security"/>
    <s v="000100.Prn/LG.01/MSB/PGAS/VIII/2024 "/>
    <s v="kontrak Induk"/>
    <x v="0"/>
    <d v="2024-08-12T00:00:00"/>
    <d v="2025-01-01T00:00:00"/>
    <d v="2025-12-31T00:00:00"/>
    <n v="154430000"/>
    <n v="154430000"/>
    <n v="32000000"/>
    <m/>
    <n v="0"/>
    <m/>
    <n v="0.89229999999999998"/>
    <m/>
    <m/>
  </r>
  <r>
    <s v="PS-006-00"/>
    <x v="1"/>
    <x v="1"/>
    <s v="YIYIP "/>
    <s v="PSOL"/>
    <s v="WO"/>
    <s v="Implementasi Vulnerability Assessment &amp; Penetration Test (VAPT) dan Technical Service Cyber Security"/>
    <s v="000100.Prn/LG.01/MSB/PGAS/VIII/2024 "/>
    <s v="kontrak Induk"/>
    <x v="0"/>
    <d v="2024-08-12T00:00:00"/>
    <d v="2026-01-01T00:00:00"/>
    <d v="2026-08-11T00:00:00"/>
    <n v="115822500"/>
    <n v="115822500"/>
    <n v="0"/>
    <n v="0"/>
    <n v="0"/>
    <m/>
    <n v="0.89229999999999998"/>
    <m/>
    <m/>
  </r>
  <r>
    <s v="PS-007-00"/>
    <x v="0"/>
    <x v="0"/>
    <s v="RIKI"/>
    <s v="PGN"/>
    <s v="MRC"/>
    <s v="Pekerjaan Penyediaan Layanan  Sewa Server YKPP PGN"/>
    <s v="270/VIII/YKPP Gas Negara/2025"/>
    <s v="Kontrak Tunggal"/>
    <x v="0"/>
    <d v="2025-08-20T00:00:00"/>
    <d v="2025-09-01T00:00:00"/>
    <d v="2025-12-31T00:00:00"/>
    <n v="12096000"/>
    <n v="27189120"/>
    <n v="7292800"/>
    <m/>
    <n v="0"/>
    <m/>
    <m/>
    <m/>
    <m/>
  </r>
  <r>
    <s v="PS-007-00"/>
    <x v="1"/>
    <x v="1"/>
    <s v="RIKI"/>
    <s v="PGN"/>
    <s v="MRC"/>
    <s v="Pekerjaan Penyediaan Layanan  Sewa Server YKPP PGN"/>
    <s v="270/VIII/YKPP Gas Negara/2025"/>
    <s v="Kontrak Tunggal"/>
    <x v="0"/>
    <d v="2025-08-20T00:00:00"/>
    <d v="2026-01-01T00:00:00"/>
    <d v="2026-08-31T00:00:00"/>
    <n v="24192000"/>
    <n v="0"/>
    <n v="14585600"/>
    <n v="0"/>
    <e v="#DIV/0!"/>
    <m/>
    <m/>
    <m/>
    <m/>
  </r>
  <r>
    <s v="PS-008-00"/>
    <x v="0"/>
    <x v="0"/>
    <s v="JODY"/>
    <s v="PGN"/>
    <s v="MRC"/>
    <s v="Jasa Teknikal Asistensi Sistem Manajemen Informasi Legal (SMILE)"/>
    <s v="044300.PK/LG.01/LGL/2025"/>
    <s v="Kontrak Tunggal"/>
    <x v="1"/>
    <d v="2025-09-24T00:00:00"/>
    <d v="2025-09-24T00:00:00"/>
    <d v="2025-12-31T00:00:00"/>
    <n v="89925000"/>
    <m/>
    <n v="61592381"/>
    <m/>
    <e v="#DIV/0!"/>
    <m/>
    <n v="0.95469999999999999"/>
    <m/>
    <m/>
  </r>
  <r>
    <s v="PS-008-00"/>
    <x v="1"/>
    <x v="1"/>
    <s v="JODY"/>
    <s v="PGN"/>
    <s v="MRC"/>
    <s v="Jasa Teknikal Asistensi Sistem Manajemen Informasi Legal (SMILE)"/>
    <s v="044300.PK/LG.01/LGL/2025"/>
    <s v="Kontrak Tunggal"/>
    <x v="1"/>
    <d v="2025-09-24T00:00:00"/>
    <d v="2026-01-01T00:00:00"/>
    <d v="2026-09-23T00:00:00"/>
    <n v="269775000"/>
    <n v="0"/>
    <n v="61592381"/>
    <n v="61592381"/>
    <e v="#DIV/0!"/>
    <m/>
    <n v="0.95469999999999999"/>
    <m/>
    <m/>
  </r>
  <r>
    <s v="PS-009-00"/>
    <x v="0"/>
    <x v="0"/>
    <s v="YIYIP "/>
    <s v="NR"/>
    <s v="MRC"/>
    <s v="Jasa Implementasi Security Information Event Management (SIEM) dan Security Operation Center (SOC)"/>
    <s v="027/NR/C200/P/2025"/>
    <s v="kontrak Induk"/>
    <x v="0"/>
    <d v="2025-12-30T00:00:00"/>
    <d v="2025-09-08T00:00:00"/>
    <d v="2025-12-31T00:00:00"/>
    <n v="127556000"/>
    <n v="190204560"/>
    <m/>
    <m/>
    <n v="0"/>
    <m/>
    <n v="0.73860000000000003"/>
    <m/>
    <m/>
  </r>
  <r>
    <s v="PS-009-00"/>
    <x v="1"/>
    <x v="1"/>
    <s v="YIYIP "/>
    <s v="NR"/>
    <s v="MRC"/>
    <s v="Jasa Implementasi Security Information Event Management (SIEM) dan Security Operation Center (SOC)"/>
    <s v="027/NR/C200/P/2025"/>
    <s v="kontrak Induk"/>
    <x v="0"/>
    <d v="2025-12-30T00:00:00"/>
    <d v="2026-01-01T00:00:00"/>
    <d v="2026-09-27T00:00:00"/>
    <n v="303768000"/>
    <n v="190204560"/>
    <n v="230573"/>
    <n v="230573"/>
    <n v="1.2122369726572275E-3"/>
    <m/>
    <n v="0.73860000000000003"/>
    <m/>
    <m/>
  </r>
  <r>
    <s v="PS-010-00"/>
    <x v="0"/>
    <x v="0"/>
    <s v="SANDI "/>
    <s v="PTM"/>
    <s v="MRC"/>
    <s v="Penyediaan Jasa Dukungan Operasional Fungsi Shared Services ICT Tahun 2025-2026"/>
    <s v="3950458034"/>
    <s v="Kontrak Tunggal"/>
    <x v="1"/>
    <d v="2025-12-02T00:00:00"/>
    <d v="2025-12-01T00:00:00"/>
    <d v="2025-12-31T00:00:00"/>
    <n v="571933850"/>
    <n v="537951519"/>
    <m/>
    <m/>
    <n v="0"/>
    <m/>
    <n v="0.81"/>
    <m/>
    <m/>
  </r>
  <r>
    <s v="PS-010-00"/>
    <x v="1"/>
    <x v="1"/>
    <s v="SANDI "/>
    <s v="PTM"/>
    <s v="MRC"/>
    <s v="Penyediaan Jasa Dukungan Operasional Fungsi Shared Services ICT Tahun 2025-2026"/>
    <s v="3950458034"/>
    <s v="Kontrak Tunggal"/>
    <x v="1"/>
    <d v="2025-12-02T00:00:00"/>
    <d v="2026-01-01T00:00:00"/>
    <d v="2026-11-30T00:00:00"/>
    <n v="6291272350"/>
    <n v="5917466709"/>
    <n v="1943532292"/>
    <n v="1943532292"/>
    <n v="0.32843991991438509"/>
    <m/>
    <n v="0.81"/>
    <m/>
    <m/>
  </r>
  <r>
    <s v="PS-011-00"/>
    <x v="1"/>
    <x v="1"/>
    <m/>
    <s v="PGN"/>
    <s v="WO"/>
    <s v="Penyediaan Lisensi Piranti Lunak dan Annual Technical Support"/>
    <s v="032200.PK/LG.01/ICT/2025"/>
    <s v="kontrak Induk"/>
    <x v="1"/>
    <d v="2025-12-02T00:00:00"/>
    <d v="2025-12-02T00:00:00"/>
    <d v="2026-12-01T00:00:00"/>
    <n v="3350000000"/>
    <n v="3019581454.0300002"/>
    <n v="190200000"/>
    <n v="190200000"/>
    <n v="6.2988862163713077E-2"/>
    <m/>
    <s v="33,77%"/>
    <m/>
    <m/>
  </r>
  <r>
    <s v="PS-012-00"/>
    <x v="1"/>
    <x v="1"/>
    <s v="YIYIP-RIZKY"/>
    <s v="PTM"/>
    <s v="MRC"/>
    <s v="Pengadaan Jasa Penyediaan Endpoint Security 2026-2027"/>
    <n v="3950486562"/>
    <s v="Kontrak Tunggal"/>
    <x v="0"/>
    <s v="TBC"/>
    <d v="2026-03-18T00:00:00"/>
    <d v="2026-12-31T00:00:00"/>
    <n v="44358527115"/>
    <n v="41144567186.666664"/>
    <n v="38590702719"/>
    <n v="38590702719"/>
    <n v="0.93792948517163477"/>
    <m/>
    <s v="1,11%"/>
    <m/>
    <m/>
  </r>
  <r>
    <s v="PS-012-00"/>
    <x v="2"/>
    <x v="2"/>
    <s v="YIYIP-RIZKY"/>
    <s v="PTM"/>
    <s v="MRC"/>
    <s v="Pengadaan Jasa Penyediaan Endpoint Security 2026-2027"/>
    <n v="3950486562"/>
    <s v="Kontrak Tunggal"/>
    <x v="0"/>
    <s v="TBC"/>
    <d v="2027-01-01T00:00:00"/>
    <d v="2027-03-17T00:00:00"/>
    <n v="91125000"/>
    <n v="173333333.33333331"/>
    <m/>
    <m/>
    <n v="0"/>
    <m/>
    <n v="1.11E-2"/>
    <m/>
    <m/>
  </r>
  <r>
    <s v="PS-013-00"/>
    <x v="3"/>
    <x v="0"/>
    <s v="RIKI"/>
    <s v="PTM"/>
    <s v="MRC"/>
    <s v="Pengadaan Sewa Perangkat Storage san NTP Server Pertamina"/>
    <s v="46000000735"/>
    <s v="Kontrak Tunggal"/>
    <x v="0"/>
    <d v="2023-01-10T00:00:00"/>
    <d v="2023-01-10T00:00:00"/>
    <d v="2023-12-31T00:00:00"/>
    <n v="111733338"/>
    <n v="78749604"/>
    <n v="608550000"/>
    <m/>
    <n v="0"/>
    <s v="4600000000891 (AMANDEMEN) _x000a_15 Oktober 2024"/>
    <n v="0.71189999999999998"/>
    <m/>
    <m/>
  </r>
  <r>
    <s v="PS-013-00"/>
    <x v="4"/>
    <x v="0"/>
    <s v="RIKI"/>
    <s v="PTM"/>
    <s v="MRC"/>
    <s v="Pengadaan Sewa Perangkat Storage san NTP Server Pertamina"/>
    <s v="46000000735"/>
    <s v="Kontrak Tunggal"/>
    <x v="0"/>
    <d v="2023-01-10T00:00:00"/>
    <d v="2024-01-01T00:00:00"/>
    <d v="2024-12-31T00:00:00"/>
    <n v="180400008"/>
    <n v="127936464"/>
    <n v="0"/>
    <m/>
    <n v="0"/>
    <s v="4600000000891 (AMANDEMEN) _x000a_15 Oktober 2024"/>
    <n v="0.71189999999999998"/>
    <m/>
    <m/>
  </r>
  <r>
    <s v="PS-013-00"/>
    <x v="0"/>
    <x v="0"/>
    <s v="RIKI"/>
    <s v="PTM"/>
    <s v="MRC"/>
    <s v="Pengadaan Sewa Perangkat Storage san NTP Server Pertamina"/>
    <s v="46000000735"/>
    <s v="Kontrak Tunggal"/>
    <x v="0"/>
    <d v="2023-01-10T00:00:00"/>
    <d v="2025-01-01T00:00:00"/>
    <d v="2025-12-31T00:00:00"/>
    <n v="180400008"/>
    <n v="127936464"/>
    <n v="0"/>
    <m/>
    <n v="0"/>
    <s v="4600000000891 (AMANDEMEN) _x000a_15 Oktober 2024"/>
    <n v="0.71189999999999998"/>
    <m/>
    <m/>
  </r>
  <r>
    <s v="PS-013-00"/>
    <x v="1"/>
    <x v="1"/>
    <s v="RIKI"/>
    <s v="PTM"/>
    <s v="MRC"/>
    <s v="Pengadaan Sewa Perangkat Storage san NTP Server Pertamina"/>
    <s v="46000000735"/>
    <s v="Kontrak Tunggal"/>
    <x v="0"/>
    <d v="2023-01-10T00:00:00"/>
    <d v="2026-01-01T00:00:00"/>
    <d v="2026-12-31T00:00:00"/>
    <n v="180400008"/>
    <n v="127936464"/>
    <n v="0"/>
    <n v="0"/>
    <n v="0"/>
    <s v="4600000000891 (AMANDEMEN) _x000a_15 Oktober 2024"/>
    <n v="0.71189999999999998"/>
    <m/>
    <m/>
  </r>
  <r>
    <s v="PS-013-00"/>
    <x v="2"/>
    <x v="2"/>
    <s v="RIKI"/>
    <s v="PTM"/>
    <s v="MRC"/>
    <s v="Pengadaan Sewa Perangkat Storage san NTP Server Pertamina"/>
    <s v="46000000735"/>
    <s v="Kontrak Tunggal"/>
    <x v="0"/>
    <d v="2023-01-10T00:00:00"/>
    <d v="2027-01-01T00:00:00"/>
    <d v="2027-12-31T00:00:00"/>
    <n v="180400008"/>
    <n v="127936464"/>
    <n v="0"/>
    <m/>
    <n v="0"/>
    <s v="4600000000891 (AMANDEMEN) _x000a_15 Oktober 2024"/>
    <s v="71,19%"/>
    <m/>
    <m/>
  </r>
  <r>
    <s v="PS-013-00"/>
    <x v="6"/>
    <x v="2"/>
    <s v="RIKI"/>
    <s v="PTM"/>
    <s v="MRC"/>
    <s v="Pengadaan Sewa Perangkat Storage san NTP Server Pertamina"/>
    <s v="46000000735"/>
    <s v="Kontrak Tunggal"/>
    <x v="0"/>
    <d v="2023-01-10T00:00:00"/>
    <d v="2028-01-01T00:00:00"/>
    <d v="2028-06-09T00:00:00"/>
    <n v="94166670"/>
    <n v="68756860"/>
    <n v="0"/>
    <m/>
    <n v="0"/>
    <s v="4600000000891 (AMANDEMEN) _x000a_15 Oktober 2024"/>
    <n v="0.71189999999999998"/>
    <m/>
    <m/>
  </r>
  <r>
    <s v="PS-014-00"/>
    <x v="4"/>
    <x v="0"/>
    <s v="TAUFAN"/>
    <s v="PTM"/>
    <s v="MRC"/>
    <s v="Penyediaan Jasa Layanan Offline Backup AWS Phase 1"/>
    <n v="3950372558"/>
    <s v="Kontrak Tunggal"/>
    <x v="0"/>
    <d v="2024-10-28T00:00:00"/>
    <d v="2024-09-23T00:00:00"/>
    <d v="2024-12-31T00:00:00"/>
    <n v="2304118335.833333"/>
    <n v="2177189520.75"/>
    <m/>
    <m/>
    <n v="0"/>
    <m/>
    <n v="0.3478"/>
    <m/>
    <m/>
  </r>
  <r>
    <s v="PS-014-00"/>
    <x v="0"/>
    <x v="0"/>
    <s v="TAUFAN"/>
    <s v="PTM"/>
    <s v="MRC"/>
    <s v="Penyediaan Jasa Layanan Offline Backup AWS Phase 1"/>
    <n v="3950372558"/>
    <s v="Kontrak Tunggal"/>
    <x v="0"/>
    <d v="2024-10-28T00:00:00"/>
    <d v="2025-01-01T00:00:00"/>
    <d v="2025-12-31T00:00:00"/>
    <n v="9216473343.3333321"/>
    <n v="8708758083"/>
    <m/>
    <m/>
    <n v="0"/>
    <m/>
    <n v="0.3478"/>
    <m/>
    <m/>
  </r>
  <r>
    <s v="PS-014-00"/>
    <x v="1"/>
    <x v="1"/>
    <s v="TAUFAN"/>
    <s v="PTM"/>
    <s v="MRC"/>
    <s v="Penyediaan Jasa Layanan Offline Backup AWS Phase 1"/>
    <n v="3950372558"/>
    <s v="Kontrak Tunggal"/>
    <x v="0"/>
    <d v="2024-10-28T00:00:00"/>
    <d v="2026-01-01T00:00:00"/>
    <d v="2026-12-31T00:00:00"/>
    <n v="9216473343.3333321"/>
    <n v="8708758083"/>
    <m/>
    <n v="0"/>
    <n v="0"/>
    <m/>
    <n v="0.3478"/>
    <m/>
    <m/>
  </r>
  <r>
    <s v="PS-014-00"/>
    <x v="2"/>
    <x v="2"/>
    <s v="TAUFAN"/>
    <s v="PTM"/>
    <s v="MRC"/>
    <s v="Penyediaan Jasa Layanan Offline Backup AWS Phase 1"/>
    <n v="3950372558"/>
    <s v="Kontrak Tunggal"/>
    <x v="0"/>
    <d v="2024-10-28T00:00:00"/>
    <d v="2027-01-01T00:00:00"/>
    <d v="2027-09-22T00:00:00"/>
    <n v="6912355007.5"/>
    <n v="6531568562.25"/>
    <m/>
    <m/>
    <n v="0"/>
    <m/>
    <n v="0.3478"/>
    <m/>
    <m/>
  </r>
  <r>
    <s v="PS-015-00"/>
    <x v="4"/>
    <x v="0"/>
    <s v="YIYIP"/>
    <s v="PTM"/>
    <s v="WO"/>
    <s v="Tindak Lanjut Pekerjaan Jasa Managed Service Security Assessment (MSSA)"/>
    <n v="3950380722"/>
    <s v="kontrak Induk"/>
    <x v="0"/>
    <d v="2024-11-07T00:00:00"/>
    <d v="2024-11-25T00:00:00"/>
    <d v="2024-12-31T00:00:00"/>
    <n v="8952230028"/>
    <n v="1011196217.84"/>
    <e v="#REF!"/>
    <m/>
    <n v="0"/>
    <m/>
    <n v="0.35460000000000003"/>
    <m/>
    <m/>
  </r>
  <r>
    <s v="PS-015-00"/>
    <x v="0"/>
    <x v="0"/>
    <s v="YIYIP"/>
    <s v="PTM"/>
    <s v="WO"/>
    <s v="Tindak Lanjut Pekerjaan Jasa Managed Service Security Assessment (MSSA)"/>
    <n v="3950380722"/>
    <s v="kontrak Induk"/>
    <x v="0"/>
    <d v="2024-11-07T00:00:00"/>
    <d v="2025-01-01T00:00:00"/>
    <d v="2025-12-31T00:00:00"/>
    <n v="13216910028"/>
    <n v="12134354614.08"/>
    <e v="#REF!"/>
    <m/>
    <n v="0"/>
    <m/>
    <n v="0.35460000000000003"/>
    <m/>
    <m/>
  </r>
  <r>
    <s v="PS-015-00"/>
    <x v="1"/>
    <x v="1"/>
    <s v="YIYIP"/>
    <s v="PTM"/>
    <s v="WO"/>
    <s v="Tindak Lanjut Pekerjaan Jasa Managed Service Security Assessment (MSSA)"/>
    <n v="3950380722"/>
    <s v="kontrak Induk"/>
    <x v="0"/>
    <d v="2024-11-07T00:00:00"/>
    <d v="2026-01-01T00:00:00"/>
    <d v="2026-12-31T00:00:00"/>
    <n v="4264680000"/>
    <n v="12134354614.08"/>
    <n v="3876834816"/>
    <n v="1520509200"/>
    <n v="0.12530614510273907"/>
    <m/>
    <n v="0.35460000000000003"/>
    <m/>
    <m/>
  </r>
  <r>
    <s v="PS-015-00"/>
    <x v="2"/>
    <x v="2"/>
    <s v="YIYIP"/>
    <s v="PTM"/>
    <s v="WO"/>
    <s v="Tindak Lanjut Pekerjaan Jasa Managed Service Security Assessment (MSSA)"/>
    <n v="3950380722"/>
    <s v="Kontrak Tunggal"/>
    <x v="0"/>
    <d v="2024-11-07T00:00:00"/>
    <d v="2027-01-01T00:00:00"/>
    <d v="2027-06-13T00:00:00"/>
    <n v="0"/>
    <s v="MASA PEMELIHARAAN "/>
    <s v="MASA PEMELIHARAAN "/>
    <m/>
    <e v="#VALUE!"/>
    <m/>
    <n v="0.35460000000000003"/>
    <m/>
    <m/>
  </r>
  <r>
    <s v="PS-016-00"/>
    <x v="0"/>
    <x v="0"/>
    <s v="TAUFAN"/>
    <s v="PGN"/>
    <s v="MRC"/>
    <s v="Jasa Managed Service Pengelolaan Layanan Pelanggan Melalui Contact Center 2025-2027"/>
    <s v="083400.PK/PP.04/SCSM/2025"/>
    <s v="Kontrak Tunggal"/>
    <x v="0"/>
    <d v="2025-09-22T00:00:00"/>
    <d v="2025-10-01T00:00:00"/>
    <d v="2025-12-31T00:00:00"/>
    <n v="1083605000"/>
    <n v="866580638"/>
    <n v="616182300"/>
    <m/>
    <n v="0"/>
    <m/>
    <s v="89,20%"/>
    <m/>
    <m/>
  </r>
  <r>
    <s v="PS-016-00"/>
    <x v="1"/>
    <x v="1"/>
    <s v="TAUFAN"/>
    <s v="PGN"/>
    <s v="MRC"/>
    <s v="Jasa Managed Service Pengelolaan Layanan Pelanggan Melalui Contact Center 2025-2027"/>
    <s v="083400.PK/PP.04/SCSM/2025"/>
    <s v="Kontrak Tunggal"/>
    <x v="0"/>
    <d v="2025-09-22T00:00:00"/>
    <d v="2026-01-01T00:00:00"/>
    <d v="2026-12-31T00:00:00"/>
    <n v="3811175000"/>
    <n v="3696137976"/>
    <m/>
    <n v="720083807"/>
    <n v="0.19482059697870976"/>
    <m/>
    <s v="89,20%"/>
    <m/>
    <m/>
  </r>
  <r>
    <s v="PS-016-00"/>
    <x v="2"/>
    <x v="2"/>
    <s v="TAUFAN"/>
    <s v="PGN"/>
    <s v="MRC"/>
    <s v="Jasa Managed Service Pengelolaan Layanan Pelanggan Melalui Contact Center 2025-2027"/>
    <s v="083400.PK/PP.04/SCSM/2025"/>
    <s v="Kontrak Tunggal"/>
    <x v="0"/>
    <d v="2025-09-22T00:00:00"/>
    <d v="2027-01-01T00:00:00"/>
    <d v="2027-09-30T00:00:00"/>
    <n v="2905220000"/>
    <n v="2865914055"/>
    <m/>
    <m/>
    <n v="0"/>
    <m/>
    <s v="89,20%"/>
    <m/>
    <m/>
  </r>
  <r>
    <s v="PS-017-00"/>
    <x v="3"/>
    <x v="0"/>
    <s v="TITA"/>
    <s v="PGN"/>
    <s v="MRC"/>
    <s v="Jasa Penyediaan Perangkat Multimedia dan Peralatan Pendukung Ruang Integrated Monitoring Center (IMOC)"/>
    <s v="019700.PK/LG.01.01/GLM/2023"/>
    <s v="Kontrak Tunggal"/>
    <x v="0"/>
    <d v="2023-08-24T00:00:00"/>
    <d v="2023-11-01T00:00:00"/>
    <d v="2023-12-31T00:00:00"/>
    <n v="1350000000"/>
    <n v="1162520665.1333332"/>
    <n v="189666642"/>
    <m/>
    <n v="0"/>
    <m/>
    <n v="0.85129999999999995"/>
    <m/>
    <m/>
  </r>
  <r>
    <s v="PS-017-00"/>
    <x v="4"/>
    <x v="0"/>
    <s v="TITA"/>
    <s v="PGN"/>
    <s v="MRC"/>
    <s v="Jasa Penyediaan Perangkat Multimedia dan Peralatan Pendukung Ruang Integrated Monitoring Center (IMOC)"/>
    <s v="019700.PK/LG.01.01/GLM/2023"/>
    <s v="Kontrak Tunggal"/>
    <x v="0"/>
    <d v="2023-08-24T00:00:00"/>
    <d v="2024-01-01T00:00:00"/>
    <d v="2024-12-31T00:00:00"/>
    <n v="1500000000"/>
    <n v="1261873446.8"/>
    <n v="1137999852"/>
    <m/>
    <n v="0"/>
    <m/>
    <n v="0.85129999999999995"/>
    <m/>
    <m/>
  </r>
  <r>
    <s v="PS-017-00"/>
    <x v="0"/>
    <x v="0"/>
    <s v="TITA"/>
    <s v="PGN"/>
    <s v="MRC"/>
    <s v="Jasa Penyediaan Perangkat Multimedia dan Peralatan Pendukung Ruang Integrated Monitoring Center (IMOC)"/>
    <s v="019700.PK/LG.01.01/GLM/2023"/>
    <s v="Kontrak Tunggal"/>
    <x v="0"/>
    <d v="2023-08-24T00:00:00"/>
    <d v="2025-01-01T00:00:00"/>
    <d v="2025-12-31T00:00:00"/>
    <n v="1500000000"/>
    <n v="1261873446.8"/>
    <n v="1137999852"/>
    <m/>
    <n v="0"/>
    <m/>
    <n v="0.85129999999999995"/>
    <m/>
    <m/>
  </r>
  <r>
    <s v="PS-017-00"/>
    <x v="1"/>
    <x v="1"/>
    <s v="TITA"/>
    <s v="PGN"/>
    <s v="MRC"/>
    <s v="Jasa Penyediaan Perangkat Multimedia dan Peralatan Pendukung Ruang Integrated Monitoring Center (IMOC)"/>
    <s v="019700.PK/LG.01.01/GLM/2023"/>
    <s v="Kontrak Tunggal"/>
    <x v="0"/>
    <d v="2023-08-24T00:00:00"/>
    <d v="2026-01-01T00:00:00"/>
    <d v="2026-12-31T00:00:00"/>
    <n v="1500000000"/>
    <n v="1261873446.8"/>
    <n v="1137999852"/>
    <n v="879104886"/>
    <n v="0.69666644323908444"/>
    <m/>
    <n v="0.85129999999999995"/>
    <m/>
    <m/>
  </r>
  <r>
    <s v="PS-017-00"/>
    <x v="2"/>
    <x v="2"/>
    <s v="TITA"/>
    <s v="PGN"/>
    <s v="MRC"/>
    <s v="Jasa Penyediaan Perangkat Multimedia dan Peralatan Pendukung Ruang Integrated Monitoring Center (IMOC)"/>
    <s v="019700.PK/LG.01.01/GLM/2023"/>
    <s v="Kontrak Tunggal"/>
    <x v="0"/>
    <d v="2023-08-24T00:00:00"/>
    <d v="2027-01-01T00:00:00"/>
    <d v="2027-12-31T00:00:00"/>
    <n v="1500000000"/>
    <n v="1261873446.8"/>
    <n v="1137999852"/>
    <m/>
    <n v="0"/>
    <m/>
    <n v="0.85129999999999995"/>
    <m/>
    <m/>
  </r>
  <r>
    <s v="PS-017-00"/>
    <x v="6"/>
    <x v="2"/>
    <s v="TITA"/>
    <s v="PGN"/>
    <s v="MRC"/>
    <s v="Jasa Penyediaan Perangkat Multimedia dan Peralatan Pendukung Ruang Integrated Monitoring Center (IMOC)"/>
    <s v="019700.PK/LG.01.01/GLM/2023"/>
    <s v="Kontrak Tunggal"/>
    <x v="0"/>
    <d v="2023-08-24T00:00:00"/>
    <d v="2028-01-01T00:00:00"/>
    <d v="2028-10-31T00:00:00"/>
    <n v="1500000000"/>
    <n v="1051561205.6666666"/>
    <n v="948333210"/>
    <m/>
    <n v="0"/>
    <m/>
    <n v="0.85129999999999995"/>
    <m/>
    <m/>
  </r>
  <r>
    <s v="PS-018-00"/>
    <x v="1"/>
    <x v="1"/>
    <s v="TAUFAN "/>
    <s v="PGN"/>
    <s v="MRC+WO"/>
    <s v="Managed Service Aplication Integration Solutions (MSAIS) Tahun 2026"/>
    <s v=" 004200.PK/LG.01/ICT/2026"/>
    <s v="kontrak Induk"/>
    <x v="1"/>
    <d v="2026-02-25T00:00:00"/>
    <d v="2026-01-01T00:00:00"/>
    <d v="2026-12-31T00:00:00"/>
    <n v="12100150000"/>
    <n v="11738007071"/>
    <s v="TBC CHNYTIA + SIGIT "/>
    <n v="7581727465.04"/>
    <n v="0.64591266806879566"/>
    <m/>
    <s v="84,45%"/>
    <m/>
    <m/>
  </r>
  <r>
    <s v="PS-019-00"/>
    <x v="0"/>
    <x v="0"/>
    <s v="RIKI"/>
    <s v="PGN"/>
    <s v="MRC"/>
    <s v="Managed Service Backup Management (Vinchin)"/>
    <s v="028000.PK/LG.01/ICT/2024"/>
    <s v="Kontrak Tunggal"/>
    <x v="0"/>
    <d v="2024-11-12T00:00:00"/>
    <d v="2025-01-01T00:00:00"/>
    <d v="2025-12-31T00:00:00"/>
    <n v="3523333333.3333335"/>
    <n v="6489147519"/>
    <n v="6268467944"/>
    <m/>
    <n v="0"/>
    <m/>
    <n v="0.50309999999999999"/>
    <m/>
    <m/>
  </r>
  <r>
    <s v="PS-019-00"/>
    <x v="1"/>
    <x v="1"/>
    <s v="RIKI"/>
    <s v="PGN"/>
    <s v="MRC"/>
    <s v="Managed Service Backup Management (Vinchin)"/>
    <s v="028000.PK/LG.01/ICT/2024"/>
    <s v="Kontrak Tunggal"/>
    <x v="0"/>
    <d v="2024-11-12T00:00:00"/>
    <d v="2026-01-01T00:00:00"/>
    <d v="2026-12-31T00:00:00"/>
    <n v="3523333333.3333335"/>
    <n v="432573333"/>
    <n v="187317686"/>
    <n v="187317686"/>
    <n v="0.43303105325727509"/>
    <m/>
    <n v="0.50309999999999999"/>
    <m/>
    <m/>
  </r>
  <r>
    <s v="PS-019-00"/>
    <x v="2"/>
    <x v="2"/>
    <s v="RIKI"/>
    <s v="PGN"/>
    <s v="MRC"/>
    <s v="Managed Service Backup Management (Vinchin)"/>
    <s v="028000.PK/LG.01/ICT/2024"/>
    <s v="Kontrak Tunggal"/>
    <x v="0"/>
    <d v="2024-11-12T00:00:00"/>
    <d v="2027-01-01T00:00:00"/>
    <d v="2027-12-31T00:00:00"/>
    <n v="3523333333.3333335"/>
    <n v="432573333"/>
    <m/>
    <m/>
    <n v="0"/>
    <m/>
    <n v="0.50309999999999999"/>
    <m/>
    <m/>
  </r>
  <r>
    <s v="PS-020-00"/>
    <x v="1"/>
    <x v="1"/>
    <s v="YIYIP "/>
    <s v="PGN"/>
    <s v="MRC+WO"/>
    <s v="Managed Service Cyber Security (MSCS) Tahun 2026"/>
    <s v="003800.PK/LG.01/ICT/2026 "/>
    <s v="Kontrak Tunggal"/>
    <x v="0"/>
    <d v="2026-01-01T00:00:00"/>
    <d v="2026-01-01T00:00:00"/>
    <d v="2026-12-31T00:00:00"/>
    <n v="8700000000"/>
    <n v="8203835132"/>
    <n v="2586905000"/>
    <n v="4696467997"/>
    <n v="0.5724722549190302"/>
    <m/>
    <n v="0.66320000000000001"/>
    <m/>
    <m/>
  </r>
  <r>
    <s v="PS-021-00"/>
    <x v="1"/>
    <x v="1"/>
    <s v="YIYIP "/>
    <s v="PGN"/>
    <s v="WO"/>
    <s v="Managed Service OT Security (MSOT) Tahun 2026 - 2028"/>
    <s v="004400.PK/LG.01/ICT/2026"/>
    <s v="Kontrak Tunggal"/>
    <x v="0"/>
    <d v="2026-02-25T00:00:00"/>
    <d v="2026-01-01T00:00:00"/>
    <d v="2026-12-31T00:00:00"/>
    <n v="5133333333.333333"/>
    <n v="4310061378.666667"/>
    <n v="703200000"/>
    <n v="8655325000"/>
    <n v="2.0081674573918842"/>
    <m/>
    <s v="30,44%"/>
    <m/>
    <m/>
  </r>
  <r>
    <s v="PS-021-00"/>
    <x v="2"/>
    <x v="2"/>
    <s v="YIYIP "/>
    <s v="PGN"/>
    <s v="WO"/>
    <s v="Managed Service OT Security (MSOT) Tahun 2026 - 2028"/>
    <s v="004400.PK/LG.01/ICT/2026"/>
    <s v="Kontrak Tunggal"/>
    <x v="0"/>
    <d v="2026-02-25T00:00:00"/>
    <d v="2027-01-01T00:00:00"/>
    <d v="2027-12-31T00:00:00"/>
    <n v="5133333333.333333"/>
    <n v="4310061378.666667"/>
    <s v="TBC "/>
    <m/>
    <n v="0"/>
    <m/>
    <s v="30,44%"/>
    <m/>
    <m/>
  </r>
  <r>
    <s v="PS-021-00"/>
    <x v="6"/>
    <x v="2"/>
    <s v="YIYIP "/>
    <s v="PGN"/>
    <s v="WO"/>
    <s v="Managed Service OT Security (MSOT) Tahun 2026 - 2028"/>
    <s v="004400.PK/LG.01/ICT/2026"/>
    <s v="Kontrak Tunggal"/>
    <x v="0"/>
    <d v="2026-02-25T00:00:00"/>
    <d v="2028-01-01T00:00:00"/>
    <d v="2028-12-31T00:00:00"/>
    <n v="5133333333.333333"/>
    <n v="4310061378.666667"/>
    <m/>
    <m/>
    <n v="0"/>
    <m/>
    <s v="30,44%"/>
    <m/>
    <m/>
  </r>
  <r>
    <s v="PS-022-00"/>
    <x v="5"/>
    <x v="0"/>
    <s v="RIKI"/>
    <s v="PGN"/>
    <s v="MRC"/>
    <s v="Managed Service Sewa Infrastruktur Data Center (Aletra)"/>
    <s v="034000.PK/LG.01/ICT/2022"/>
    <s v="Kontrak Tunggal"/>
    <x v="1"/>
    <d v="2022-12-29T00:00:00"/>
    <d v="2022-12-29T00:00:00"/>
    <d v="2022-12-31T00:00:00"/>
    <n v="0"/>
    <n v="0"/>
    <m/>
    <m/>
    <e v="#DIV/0!"/>
    <m/>
    <n v="0.66"/>
    <m/>
    <m/>
  </r>
  <r>
    <s v="PS-022-00"/>
    <x v="3"/>
    <x v="0"/>
    <s v="RIKI"/>
    <s v="PGN"/>
    <s v="MRC"/>
    <s v="Managed Service Sewa Infrastruktur Data Center (Aletra)"/>
    <s v="034000.PK/LG.01/ICT/2022"/>
    <s v="Kontrak Tunggal"/>
    <x v="1"/>
    <d v="2022-12-29T00:00:00"/>
    <d v="2023-01-01T00:00:00"/>
    <d v="2023-12-31T00:00:00"/>
    <n v="3640000000"/>
    <n v="2137144000"/>
    <n v="6212000000"/>
    <m/>
    <n v="0"/>
    <m/>
    <n v="0.66"/>
    <m/>
    <m/>
  </r>
  <r>
    <s v="PS-022-00"/>
    <x v="4"/>
    <x v="0"/>
    <s v="RIKI"/>
    <s v="PGN"/>
    <s v="MRC"/>
    <s v="Managed Service Sewa Infrastruktur Data Center (Aletra)"/>
    <s v="034000.PK/LG.01/ICT/2022"/>
    <s v="Kontrak Tunggal"/>
    <x v="1"/>
    <d v="2022-12-29T00:00:00"/>
    <d v="2024-01-01T00:00:00"/>
    <d v="2024-12-31T00:00:00"/>
    <n v="3640000000"/>
    <n v="2023744000"/>
    <n v="312000000"/>
    <m/>
    <n v="0"/>
    <m/>
    <n v="0.66"/>
    <m/>
    <m/>
  </r>
  <r>
    <s v="PS-022-00"/>
    <x v="0"/>
    <x v="0"/>
    <s v="RIKI"/>
    <s v="PGN"/>
    <s v="MRC"/>
    <s v="Managed Service Sewa Infrastruktur Data Center (Aletra)"/>
    <s v="034000.PK/LG.01/ICT/2022"/>
    <s v="Kontrak Tunggal"/>
    <x v="1"/>
    <d v="2022-12-29T00:00:00"/>
    <d v="2025-01-01T00:00:00"/>
    <d v="2025-12-31T00:00:00"/>
    <n v="3640000000"/>
    <n v="2023744000"/>
    <n v="312000000"/>
    <m/>
    <n v="0"/>
    <m/>
    <n v="0.66"/>
    <m/>
    <m/>
  </r>
  <r>
    <s v="PS-022-00"/>
    <x v="1"/>
    <x v="1"/>
    <s v="RIKI"/>
    <s v="PGN"/>
    <s v="MRC"/>
    <s v="Managed Service Sewa Infrastruktur Data Center (Aletra)"/>
    <s v="034000.PK/LG.01/ICT/2022"/>
    <s v="Kontrak Tunggal"/>
    <x v="1"/>
    <d v="2022-12-29T00:00:00"/>
    <d v="2026-01-01T00:00:00"/>
    <d v="2026-12-31T00:00:00"/>
    <n v="3640000000"/>
    <n v="2023744000"/>
    <n v="312000000"/>
    <n v="312000000"/>
    <n v="0.15416969735302488"/>
    <m/>
    <n v="0.66"/>
    <m/>
    <m/>
  </r>
  <r>
    <s v="PS-022-00"/>
    <x v="2"/>
    <x v="2"/>
    <s v="RIKI"/>
    <s v="PGN"/>
    <s v="MRC"/>
    <s v="Managed Service Sewa Infrastruktur Data Center (Aletra)"/>
    <s v="034000.PK/LG.01/ICT/2022"/>
    <s v="Kontrak Tunggal"/>
    <x v="1"/>
    <d v="2022-12-29T00:00:00"/>
    <d v="2027-01-01T00:00:00"/>
    <d v="2027-12-28T00:00:00"/>
    <n v="3640000000"/>
    <n v="2023744000"/>
    <n v="312000000"/>
    <m/>
    <n v="0"/>
    <m/>
    <n v="0.66"/>
    <m/>
    <m/>
  </r>
  <r>
    <s v="PS-023-00"/>
    <x v="0"/>
    <x v="0"/>
    <s v="TAUFAN "/>
    <s v="PGN"/>
    <s v="MRC+WO"/>
    <s v="Managed Service Teknologi Informasi (MSTI) 2025"/>
    <s v="037000.PKL/LG.01/ICT/2024"/>
    <s v="kontrak Induk"/>
    <x v="1"/>
    <d v="2024-12-31T00:00:00"/>
    <d v="2025-01-01T00:00:00"/>
    <d v="2025-12-31T00:00:00"/>
    <n v="20019023471"/>
    <n v="19452012822"/>
    <m/>
    <m/>
    <n v="0"/>
    <m/>
    <n v="0.71240000000000003"/>
    <m/>
    <m/>
  </r>
  <r>
    <s v="PS-023-00"/>
    <x v="1"/>
    <x v="1"/>
    <s v="TAUFAN "/>
    <s v="PGN"/>
    <s v="MRC+WO"/>
    <s v="Managed Service Teknologi Informasi (MSTI) 2026"/>
    <s v="003200.PK/LG.01/ICT/2026 "/>
    <s v="kontrak Induk"/>
    <x v="1"/>
    <d v="2026-02-25T00:00:00"/>
    <d v="2026-01-01T00:00:00"/>
    <d v="2026-12-31T00:00:00"/>
    <n v="23950000000"/>
    <n v="22563728241"/>
    <m/>
    <n v="8685073119"/>
    <n v="0.38491303503729341"/>
    <m/>
    <n v="0.64300000000000002"/>
    <m/>
    <m/>
  </r>
  <r>
    <s v="PS-024-00"/>
    <x v="0"/>
    <x v="0"/>
    <s v="TITA"/>
    <s v="PGN"/>
    <s v="MRC+WO"/>
    <s v="Pekerjaan Jasa Operasi dan Pemeliharaan Terintegrasi Gas Management System (PJOPTGMS)"/>
    <s v="009700.PK/HK.02/GLM/2025"/>
    <s v="kontrak Induk"/>
    <x v="1"/>
    <d v="2025-03-01T00:00:00"/>
    <d v="2025-03-01T00:00:00"/>
    <d v="2025-12-31T00:00:00"/>
    <n v="49166666667.000008"/>
    <n v="42942417803.333336"/>
    <n v="20653294878"/>
    <m/>
    <n v="0"/>
    <m/>
    <n v="0.59179999999999999"/>
    <m/>
    <m/>
  </r>
  <r>
    <s v="PS-024-00"/>
    <x v="1"/>
    <x v="1"/>
    <s v="TITA"/>
    <s v="PGN"/>
    <s v="MRC+WO"/>
    <s v="Pekerjaan Jasa Operasi dan Pemeliharaan Terintegrasi Gas Management System (PJOPTGMS)"/>
    <s v="009700.PK/HK.02/GLM/2025"/>
    <s v="kontrak Induk"/>
    <x v="1"/>
    <d v="2025-03-01T00:00:00"/>
    <d v="2026-01-01T00:00:00"/>
    <d v="2026-12-31T00:00:00"/>
    <n v="59000000000.400009"/>
    <n v="51530901364"/>
    <m/>
    <n v="14455190465.096647"/>
    <n v="0.28051499357616877"/>
    <m/>
    <n v="0.59179999999999999"/>
    <m/>
    <m/>
  </r>
  <r>
    <s v="PS-024-00"/>
    <x v="2"/>
    <x v="2"/>
    <s v="TITA"/>
    <s v="PGN"/>
    <s v="MRC+WO"/>
    <s v="Pekerjaan Jasa Operasi dan Pemeliharaan Terintegrasi Gas Management System (PJOPTGMS)"/>
    <s v="009700.PK/HK.02/GLM/2025"/>
    <s v="kontrak Induk"/>
    <x v="1"/>
    <d v="2025-03-01T00:00:00"/>
    <d v="2027-01-01T00:00:00"/>
    <d v="2027-12-31T00:00:00"/>
    <n v="59000000000.400009"/>
    <n v="51530901364"/>
    <m/>
    <m/>
    <n v="0"/>
    <m/>
    <n v="0.59179999999999999"/>
    <m/>
    <m/>
  </r>
  <r>
    <s v="PS-024-00"/>
    <x v="6"/>
    <x v="2"/>
    <s v="TITA"/>
    <s v="PGN"/>
    <s v="MRC+WO"/>
    <s v="Pekerjaan Jasa Operasi dan Pemeliharaan Terintegrasi Gas Management System (PJOPTGMS)"/>
    <s v="009700.PK/HK.02/GLM/2025"/>
    <s v="kontrak Induk"/>
    <x v="1"/>
    <d v="2025-03-01T00:00:00"/>
    <d v="2028-01-01T00:00:00"/>
    <d v="2028-02-29T00:00:00"/>
    <n v="9833333333.4000015"/>
    <n v="8588483560.666667"/>
    <m/>
    <m/>
    <n v="0"/>
    <m/>
    <n v="0.59179999999999999"/>
    <m/>
    <m/>
  </r>
  <r>
    <s v="PS-025-00"/>
    <x v="1"/>
    <x v="1"/>
    <s v="TAUFAN "/>
    <s v="PGN"/>
    <s v="MRC"/>
    <s v="Pekerjaan Jasa Sewa Penyediaan Collocation Master Data Center dan Backup data Center"/>
    <s v="067400.ND/LG.01/DKP/2025"/>
    <s v="Kontrak Tunggal"/>
    <x v="1"/>
    <d v="2025-11-18T00:00:00"/>
    <d v="2026-01-01T00:00:00"/>
    <d v="2026-12-31T00:00:00"/>
    <n v="1200000000"/>
    <n v="1038528000"/>
    <n v="624000000"/>
    <n v="0"/>
    <n v="0"/>
    <m/>
    <n v="0.77410000000000001"/>
    <m/>
    <m/>
  </r>
  <r>
    <s v="PS-026-00"/>
    <x v="0"/>
    <x v="0"/>
    <s v="SANDI "/>
    <s v="PGN"/>
    <s v="MRC"/>
    <s v="Pengadaan Jasa Managed Service E-KYC"/>
    <s v="070300.PK/LG.01/GLS/2025"/>
    <s v="Kontrak Tunggal"/>
    <x v="0"/>
    <d v="2025-11-14T00:00:00"/>
    <d v="2025-11-11T00:00:00"/>
    <d v="2025-12-31T00:00:00"/>
    <n v="73000000"/>
    <n v="65856860"/>
    <m/>
    <m/>
    <n v="0"/>
    <m/>
    <s v="58,56%"/>
    <m/>
    <m/>
  </r>
  <r>
    <s v="PS-026-00"/>
    <x v="1"/>
    <x v="1"/>
    <s v="SANDI "/>
    <s v="PGN"/>
    <s v="MRC"/>
    <s v="Pengadaan Jasa Managed Service E-KYC"/>
    <s v="070300.PK/LG.01/GLS/2025"/>
    <s v="Kontrak Tunggal"/>
    <x v="0"/>
    <d v="2025-11-14T00:00:00"/>
    <d v="2025-11-11T00:00:00"/>
    <d v="2026-12-31T00:00:00"/>
    <n v="657000000"/>
    <n v="592711740"/>
    <n v="54585707"/>
    <n v="54585707"/>
    <n v="9.2094863854054923E-2"/>
    <m/>
    <s v="58,56%"/>
    <m/>
    <m/>
  </r>
  <r>
    <s v="PS-027-00"/>
    <x v="1"/>
    <x v="1"/>
    <m/>
    <s v="PGN"/>
    <s v="MRC"/>
    <s v="Penyediaan Jasa Layanan Notifikasi SMS Penagihan Piutang Pelanggan Tahun 2026"/>
    <s v="021400.PK/LG.01/CFN/2026"/>
    <s v="Kontrak Tunggal"/>
    <x v="1"/>
    <d v="2026-03-17T00:00:00"/>
    <d v="2026-03-17T00:00:00"/>
    <d v="2026-12-31T00:00:00"/>
    <n v="687000000"/>
    <n v="603157803"/>
    <n v="490011608"/>
    <n v="490011608"/>
    <n v="0.81241029389451502"/>
    <m/>
    <n v="0.96350000000000002"/>
    <m/>
    <m/>
  </r>
  <r>
    <s v="PS-028-00"/>
    <x v="0"/>
    <x v="0"/>
    <s v="TAUFAN "/>
    <s v="PGN"/>
    <s v="MRC"/>
    <s v="Penyediaan Layanan Sistem Radio Komunikasi 2025-2027"/>
    <s v="061200.PK/HK.02/OMM/2024"/>
    <s v="Kontrak Tunggal"/>
    <x v="1"/>
    <d v="2024-12-30T00:00:00"/>
    <d v="2025-01-01T00:00:00"/>
    <d v="2025-12-31T00:00:00"/>
    <n v="7766666666.666667"/>
    <n v="6508772776"/>
    <m/>
    <m/>
    <n v="0"/>
    <m/>
    <s v="75,57%"/>
    <m/>
    <m/>
  </r>
  <r>
    <s v="PS-028-00"/>
    <x v="1"/>
    <x v="1"/>
    <s v="TAUFAN "/>
    <s v="PGN"/>
    <s v="MRC"/>
    <s v="Penyediaan Layanan Sistem Radio Komunikasi 2025-2027"/>
    <s v="061200.PK/HK.02/OMM/2024"/>
    <s v="Kontrak Tunggal"/>
    <x v="1"/>
    <d v="2024-12-30T00:00:00"/>
    <d v="2026-01-01T00:00:00"/>
    <d v="2026-12-31T00:00:00"/>
    <n v="7766666666.666667"/>
    <n v="6508772776"/>
    <m/>
    <n v="560175910"/>
    <n v="8.6064751263948566E-2"/>
    <m/>
    <s v="75,57%"/>
    <m/>
    <m/>
  </r>
  <r>
    <s v="PS-028-00"/>
    <x v="2"/>
    <x v="2"/>
    <s v="TAUFAN "/>
    <s v="PGN"/>
    <s v="MRC"/>
    <s v="Penyediaan Layanan Sistem Radio Komunikasi 2025-2027"/>
    <s v="061200.PK/HK.02/OMM/2024"/>
    <s v="Kontrak Tunggal"/>
    <x v="1"/>
    <d v="2024-12-30T00:00:00"/>
    <d v="2027-01-01T00:00:00"/>
    <d v="2027-12-31T00:00:00"/>
    <n v="7766666666.666667"/>
    <n v="6508772776"/>
    <m/>
    <m/>
    <n v="0"/>
    <m/>
    <s v="75,57%"/>
    <m/>
    <m/>
  </r>
  <r>
    <s v="PS-029-00"/>
    <x v="1"/>
    <x v="1"/>
    <s v="RIKI"/>
    <s v="PGN"/>
    <s v="OTC"/>
    <s v="Penyediaan Lisensi Piranti Lunak Periode IV (Google Maps)"/>
    <s v="029400.PK/LG.01/ICT/2025"/>
    <s v="Kontrak Tunggal"/>
    <x v="0"/>
    <d v="2025-11-11T00:00:00"/>
    <d v="2026-01-01T00:00:00"/>
    <d v="2026-12-31T00:00:00"/>
    <n v="271666666.66666669"/>
    <n v="213454080"/>
    <n v="141168000"/>
    <n v="0"/>
    <n v="0"/>
    <m/>
    <n v="7.5700000000000003E-2"/>
    <m/>
    <m/>
  </r>
  <r>
    <s v="PS-029-00"/>
    <x v="2"/>
    <x v="2"/>
    <s v="RIKI"/>
    <s v="PGN"/>
    <s v="OTC"/>
    <s v="Penyediaan Lisensi Piranti Lunak Periode IV (Google Maps)"/>
    <s v="029400.PK/LG.01/ICT/2025"/>
    <s v="Kontrak Tunggal"/>
    <x v="0"/>
    <d v="2025-11-11T00:00:00"/>
    <d v="2027-01-01T00:00:00"/>
    <d v="2027-12-31T00:00:00"/>
    <n v="271666666.66666669"/>
    <n v="213454080"/>
    <n v="141168000"/>
    <m/>
    <n v="0"/>
    <m/>
    <n v="7.5700000000000003E-2"/>
    <m/>
    <m/>
  </r>
  <r>
    <s v="PS-029-00"/>
    <x v="6"/>
    <x v="2"/>
    <s v="RIKI"/>
    <s v="PGN"/>
    <s v="OTC"/>
    <s v="Penyediaan Lisensi Piranti Lunak Periode IV (Google Maps)"/>
    <s v="029400.PK/LG.01/ICT/2025"/>
    <s v="Kontrak Tunggal"/>
    <x v="0"/>
    <d v="2025-11-11T00:00:00"/>
    <d v="2028-01-01T00:00:00"/>
    <d v="2028-12-21T00:00:00"/>
    <n v="271666666.66666669"/>
    <n v="213454080"/>
    <n v="141168000"/>
    <m/>
    <n v="0"/>
    <m/>
    <n v="7.5700000000000003E-2"/>
    <m/>
    <m/>
  </r>
  <r>
    <s v="PS-030-00"/>
    <x v="3"/>
    <x v="0"/>
    <s v="RIKI "/>
    <s v="PGN"/>
    <s v="MRC"/>
    <s v="Sewa Perangkat Infrastruktur Teknologi Informasi (Sangfor)"/>
    <s v="018100.PK/LG.01/ICT/2023"/>
    <s v="Kontrak Tunggal"/>
    <x v="0"/>
    <d v="2023-10-09T00:00:00"/>
    <d v="2023-10-09T00:00:00"/>
    <d v="2023-12-31T00:00:00"/>
    <n v="5342000000"/>
    <n v="1410044121.25"/>
    <n v="1101750000"/>
    <m/>
    <n v="0"/>
    <s v="027100.AMD/LG.01/ICT/2023"/>
    <n v="0.46920000000000001"/>
    <m/>
    <m/>
  </r>
  <r>
    <s v="PS-030-00"/>
    <x v="4"/>
    <x v="0"/>
    <s v="RIKI "/>
    <s v="PGN"/>
    <s v="MRC"/>
    <s v="Sewa Perangkat Infrastruktur Teknologi Informasi (Sangfor)"/>
    <s v="018100.PK/LG.01/ICT/2023"/>
    <s v="Kontrak Tunggal"/>
    <x v="0"/>
    <d v="2023-10-09T00:00:00"/>
    <d v="2024-01-01T00:00:00"/>
    <d v="2024-12-31T00:00:00"/>
    <n v="5342000000"/>
    <n v="5411652960"/>
    <n v="4407000000"/>
    <m/>
    <n v="0"/>
    <s v="027100.AMD/LG.01/ICT/2023"/>
    <n v="0.46920000000000001"/>
    <m/>
    <m/>
  </r>
  <r>
    <s v="PS-030-00"/>
    <x v="0"/>
    <x v="0"/>
    <s v="RIKI "/>
    <s v="PGN"/>
    <s v="MRC"/>
    <s v="Sewa Perangkat Infrastruktur Teknologi Informasi (Sangfor)"/>
    <s v="018100.PK/LG.01/ICT/2023"/>
    <s v="Kontrak Tunggal"/>
    <x v="0"/>
    <d v="2023-10-09T00:00:00"/>
    <d v="2025-01-01T00:00:00"/>
    <d v="2025-12-31T00:00:00"/>
    <n v="5342000000"/>
    <n v="4726082385"/>
    <n v="4407000000"/>
    <m/>
    <n v="0"/>
    <s v="027100.AMD/LG.01/ICT/2023"/>
    <n v="0.46920000000000001"/>
    <m/>
    <m/>
  </r>
  <r>
    <s v="PS-030-00"/>
    <x v="1"/>
    <x v="1"/>
    <s v="RIKI "/>
    <s v="PGN"/>
    <s v="MRC"/>
    <s v="Sewa Perangkat Infrastruktur Teknologi Informasi (Sangfor)"/>
    <s v="018100.PK/LG.01/ICT/2023"/>
    <s v="Kontrak Tunggal"/>
    <x v="0"/>
    <d v="2023-10-09T00:00:00"/>
    <d v="2026-01-01T00:00:00"/>
    <d v="2026-12-31T00:00:00"/>
    <n v="5628331867"/>
    <n v="5286082385"/>
    <n v="4959000000"/>
    <n v="2260500000"/>
    <n v="0.42763238166973822"/>
    <s v="027100.AMD/LG.01/ICT/2023"/>
    <n v="0.46920000000000001"/>
    <m/>
    <m/>
  </r>
  <r>
    <s v="PS-030-00"/>
    <x v="2"/>
    <x v="2"/>
    <s v="RIKI "/>
    <s v="PGN"/>
    <s v="MRC"/>
    <s v="Sewa Perangkat Infrastruktur Teknologi Informasi (Sangfor)"/>
    <s v="018100.PK/LG.01/ICT/2023"/>
    <s v="Kontrak Tunggal"/>
    <x v="0"/>
    <d v="2023-10-09T00:00:00"/>
    <d v="2027-01-01T00:00:00"/>
    <d v="2027-12-31T00:00:00"/>
    <n v="2957331867"/>
    <n v="4726082385"/>
    <n v="4407000000"/>
    <m/>
    <n v="0"/>
    <s v="027100.AMD/LG.01/ICT/2023"/>
    <n v="0.46920000000000001"/>
    <m/>
    <m/>
  </r>
  <r>
    <s v="PS-030-00"/>
    <x v="6"/>
    <x v="2"/>
    <s v="RIKI "/>
    <s v="PGN"/>
    <s v="MRC"/>
    <s v="Sewa Perangkat Infrastruktur Teknologi Informasi (Sangfor)"/>
    <s v="018100.PK/LG.01/ICT/2023"/>
    <s v="Kontrak Tunggal"/>
    <x v="0"/>
    <d v="2023-10-09T00:00:00"/>
    <d v="2028-01-01T00:00:00"/>
    <d v="2028-10-08T00:00:00"/>
    <n v="2957331867"/>
    <n v="3544561788.75"/>
    <n v="3305250000"/>
    <m/>
    <n v="0"/>
    <s v="027100.AMD/LG.01/ICT/2023"/>
    <n v="0.46920000000000001"/>
    <m/>
    <m/>
  </r>
  <r>
    <s v="PS-031-00"/>
    <x v="1"/>
    <x v="1"/>
    <m/>
    <s v="PGN"/>
    <s v="MRC"/>
    <s v="Penyediaan Personil Tenaga Alih Daya (TAD) di PT Perusahaan Gas Negara (PGN) HSSE Untuk Rencana Pekerjaan PGN Digital HSSE Campaign Tahun 2026"/>
    <s v="belum ada dokumen kontrak"/>
    <s v="Kontrak Tunggal"/>
    <x v="1"/>
    <s v="TBC"/>
    <d v="2026-04-01T00:00:00"/>
    <d v="2026-12-31T00:00:00"/>
    <n v="1083990690"/>
    <n v="942599718"/>
    <m/>
    <n v="69864804"/>
    <n v="7.4119271060507572E-2"/>
    <m/>
    <m/>
    <s v="Submit dokumen, proses tender"/>
    <m/>
  </r>
  <r>
    <s v="PS-032-00"/>
    <x v="1"/>
    <x v="1"/>
    <m/>
    <s v="PGN"/>
    <s v="MRC"/>
    <s v="Penyediaan Aplikasi Point of Sales untuk Pemberdayaan Aset"/>
    <s v="048000.PK/LG.01.01/AFM/2026"/>
    <s v="Kontrak Tunggal"/>
    <x v="1"/>
    <d v="2026-04-16T00:00:00"/>
    <d v="2026-04-01T00:00:00"/>
    <d v="2026-12-31T00:00:00"/>
    <n v="131500000"/>
    <n v="113323716"/>
    <m/>
    <n v="0"/>
    <n v="0"/>
    <m/>
    <n v="0.86609999999999998"/>
    <m/>
    <m/>
  </r>
  <r>
    <s v="PS-033-00"/>
    <x v="1"/>
    <x v="1"/>
    <s v="SUKMA"/>
    <s v="PGN"/>
    <s v="MRC"/>
    <s v="Managed Service Cyber Security Awareness 2026"/>
    <s v="007600.PK/LG.01/ICT/2026"/>
    <s v="Kontrak Tunggal"/>
    <x v="1"/>
    <d v="2026-04-27T00:00:00"/>
    <d v="2026-01-01T00:00:00"/>
    <d v="2026-12-31T00:00:00"/>
    <n v="1200000000"/>
    <n v="1364410400"/>
    <m/>
    <n v="0"/>
    <n v="0"/>
    <s v="Amandemen"/>
    <n v="0.57020000000000004"/>
    <m/>
    <m/>
  </r>
  <r>
    <s v="PS-034-00"/>
    <x v="1"/>
    <x v="1"/>
    <s v="SANDI "/>
    <s v="PLI"/>
    <s v="MRC"/>
    <s v="Jasa Pemeliharaan Sistem Kontrol dan Telekomunikasi Offtake Station (OTS) &amp; Onshore Receiving Facilities (ORF) 2026-2027"/>
    <s v="0020104.PER/KOM-PLI/26"/>
    <s v="Kontrak Tunggal"/>
    <x v="1"/>
    <d v="2026-04-01T00:00:00"/>
    <d v="2026-04-01T00:00:00"/>
    <d v="2026-12-31T00:00:00"/>
    <n v="1395000000"/>
    <n v="1236714876"/>
    <n v="0"/>
    <n v="126685357.95166667"/>
    <n v="0.10243699692641739"/>
    <m/>
    <n v="0.79"/>
    <m/>
    <m/>
  </r>
  <r>
    <s v="PS-034-00"/>
    <x v="2"/>
    <x v="2"/>
    <s v="SANDI "/>
    <s v="PLI"/>
    <s v="MRC"/>
    <s v="Jasa Pemeliharaan Sistem Kontrol dan Telekomunikasi Offtake Station (OTS) &amp; Onshore Receiving Facilities (ORF) 2026-2027"/>
    <s v="0020104.PER/KOM-PLI/26"/>
    <s v="Kontrak Tunggal"/>
    <x v="1"/>
    <d v="2026-04-01T00:00:00"/>
    <d v="2027-01-01T00:00:00"/>
    <d v="2027-03-31T00:00:00"/>
    <n v="465000000"/>
    <n v="412238292"/>
    <n v="0"/>
    <m/>
    <n v="0"/>
    <m/>
    <n v="0.79"/>
    <m/>
    <m/>
  </r>
  <r>
    <s v="PS-035-00"/>
    <x v="5"/>
    <x v="0"/>
    <s v="TAUFAN "/>
    <s v="PTG"/>
    <s v="MRC"/>
    <s v="Layanan Sewa Perangkat Server dan Network Teknologi Informasi dan Layanan Sewa Perangkat Infrastruktur Teknologi Informasi SPO Nusantara"/>
    <n v="3900513756"/>
    <s v="Kontrak Tunggal"/>
    <x v="0"/>
    <d v="2021-11-29T00:00:00"/>
    <d v="2022-01-01T00:00:00"/>
    <d v="2022-12-31T00:00:00"/>
    <n v="1662299177"/>
    <n v="975015806.16666663"/>
    <m/>
    <m/>
    <n v="0"/>
    <s v="BA-006/PG3300/2026-S0"/>
    <m/>
    <m/>
    <m/>
  </r>
  <r>
    <s v="PS-035-00"/>
    <x v="3"/>
    <x v="0"/>
    <s v="TAUFAN "/>
    <s v="PTG"/>
    <s v="MRC"/>
    <s v="Layanan Sewa Perangkat Server dan Network Teknologi Informasi dan Layanan Sewa Perangkat Infrastruktur Teknologi Informasi SPO Nusantara"/>
    <n v="3900513756"/>
    <s v="Kontrak Tunggal"/>
    <x v="0"/>
    <d v="2021-11-29T00:00:00"/>
    <d v="2023-01-01T00:00:00"/>
    <d v="2023-12-31T00:00:00"/>
    <n v="2192685594"/>
    <n v="1065567327.25"/>
    <m/>
    <m/>
    <n v="0"/>
    <s v="BA-006/PG3300/2026-S0"/>
    <m/>
    <m/>
    <m/>
  </r>
  <r>
    <s v="PS-035-00"/>
    <x v="4"/>
    <x v="0"/>
    <s v="TAUFAN "/>
    <s v="PTG"/>
    <s v="MRC"/>
    <s v="Layanan Sewa Perangkat Server dan Network Teknologi Informasi dan Layanan Sewa Perangkat Infrastruktur Teknologi Informasi SPO Nusantara"/>
    <n v="3900513756"/>
    <s v="Kontrak Tunggal"/>
    <x v="0"/>
    <d v="2021-11-29T00:00:00"/>
    <d v="2024-01-01T00:00:00"/>
    <d v="2024-12-31T00:00:00"/>
    <n v="2203837273"/>
    <n v="1065567327.25"/>
    <m/>
    <m/>
    <n v="0"/>
    <s v="BA-006/PG3300/2026-S0"/>
    <m/>
    <m/>
    <m/>
  </r>
  <r>
    <s v="PS-035-00"/>
    <x v="0"/>
    <x v="0"/>
    <s v="TAUFAN "/>
    <s v="PTG"/>
    <s v="MRC"/>
    <s v="Layanan Sewa Perangkat Server dan Network Teknologi Informasi dan Layanan Sewa Perangkat Infrastruktur Teknologi Informasi SPO Nusantara"/>
    <n v="3900513756"/>
    <s v="Kontrak Tunggal"/>
    <x v="0"/>
    <d v="2021-11-29T00:00:00"/>
    <d v="2025-01-01T00:00:00"/>
    <d v="2025-12-31T00:00:00"/>
    <n v="2241121087"/>
    <n v="1065567327.25"/>
    <m/>
    <m/>
    <n v="0"/>
    <s v="BA-006/PG3300/2026-S0"/>
    <m/>
    <m/>
    <m/>
  </r>
  <r>
    <s v="PS-035-00"/>
    <x v="1"/>
    <x v="1"/>
    <s v="TAUFAN "/>
    <s v="PTG"/>
    <s v="MRC"/>
    <s v="Layanan Sewa Perangkat Server dan Network Teknologi Informasi dan Layanan Sewa Perangkat Infrastruktur Teknologi Informasi SPO Nusantara"/>
    <n v="3900513756"/>
    <s v="Kontrak Tunggal"/>
    <x v="0"/>
    <d v="2021-11-29T00:00:00"/>
    <d v="2026-01-01T00:00:00"/>
    <d v="2026-12-31T00:00:00"/>
    <n v="899838723"/>
    <n v="355189109.08333331"/>
    <n v="1133964153"/>
    <n v="1133964153"/>
    <n v="3.1925645353443342"/>
    <s v="BA-006/PG3300/2026-S0"/>
    <m/>
    <m/>
    <m/>
  </r>
  <r>
    <s v="PS-035-00"/>
    <x v="2"/>
    <x v="2"/>
    <s v="TAUFAN "/>
    <s v="PTG"/>
    <s v="MRC"/>
    <s v="Layanan Sewa Perangkat Server dan Network Teknologi Informasi dan Layanan Sewa Perangkat Infrastruktur Teknologi Informasi SPO Nusantara"/>
    <n v="3900513756"/>
    <s v="Kontrak Tunggal"/>
    <x v="0"/>
    <d v="2021-11-29T00:00:00"/>
    <d v="2027-01-01T00:00:00"/>
    <d v="2027-07-12T00:00:00"/>
    <n v="183548065"/>
    <n v="193309900"/>
    <s v="TBC"/>
    <m/>
    <n v="0"/>
    <s v="BA-006/PG3300/2026-S0"/>
    <m/>
    <m/>
    <m/>
  </r>
  <r>
    <s v="PS-036-00"/>
    <x v="4"/>
    <x v="0"/>
    <s v="TAUFAN "/>
    <s v="PTG"/>
    <s v="MRC"/>
    <s v="Manage Service Layanan Perangkat Command Crisis Center PT Pertamina Gas"/>
    <n v="4600003902"/>
    <s v="Kontrak Tunggal"/>
    <x v="0"/>
    <d v="2024-01-10T00:00:00"/>
    <d v="2024-02-05T00:00:00"/>
    <d v="2024-12-31T00:00:00"/>
    <n v="744223483.66666663"/>
    <n v="522410958.19999999"/>
    <n v="839604069.79999995"/>
    <m/>
    <n v="0"/>
    <m/>
    <n v="0.71"/>
    <m/>
    <m/>
  </r>
  <r>
    <s v="PS-036-00"/>
    <x v="0"/>
    <x v="0"/>
    <s v="TAUFAN "/>
    <s v="PTG"/>
    <s v="MRC"/>
    <s v="Manage Service Layanan Perangkat Command Crisis Center PT Pertamina Gas"/>
    <n v="4600003902"/>
    <s v="Kontrak Tunggal"/>
    <x v="0"/>
    <d v="2024-01-10T00:00:00"/>
    <d v="2025-01-01T00:00:00"/>
    <d v="2025-12-31T00:00:00"/>
    <n v="728746180.39999998"/>
    <n v="522410958.19999999"/>
    <n v="624390621.5999999"/>
    <m/>
    <n v="0"/>
    <m/>
    <n v="0.71"/>
    <m/>
    <m/>
  </r>
  <r>
    <s v="PS-036-00"/>
    <x v="1"/>
    <x v="1"/>
    <s v="TAUFAN "/>
    <s v="PTG"/>
    <s v="MRC"/>
    <s v="Manage Service Layanan Perangkat Command Crisis Center PT Pertamina Gas"/>
    <n v="4600003902"/>
    <s v="Kontrak Tunggal"/>
    <x v="0"/>
    <d v="2024-01-10T00:00:00"/>
    <d v="2026-01-01T00:00:00"/>
    <d v="2026-12-31T00:00:00"/>
    <n v="728746180.39999998"/>
    <n v="522410958.19999999"/>
    <n v="624390621.5999999"/>
    <n v="208130208"/>
    <n v="0.39840322017196156"/>
    <m/>
    <n v="0.71"/>
    <m/>
    <m/>
  </r>
  <r>
    <s v="PS-036-00"/>
    <x v="2"/>
    <x v="2"/>
    <s v="TAUFAN "/>
    <s v="PTG"/>
    <s v="MRC"/>
    <s v="Manage Service Layanan Perangkat Command Crisis Center PT Pertamina Gas"/>
    <n v="4600003902"/>
    <s v="Kontrak Tunggal"/>
    <x v="0"/>
    <d v="2024-01-10T00:00:00"/>
    <d v="2027-01-01T00:00:00"/>
    <d v="2027-12-31T00:00:00"/>
    <n v="728746180.39999998"/>
    <n v="522410958.19999999"/>
    <n v="624390621.5999999"/>
    <m/>
    <n v="0"/>
    <m/>
    <n v="0.71"/>
    <m/>
    <m/>
  </r>
  <r>
    <s v="PS-036-00"/>
    <x v="6"/>
    <x v="2"/>
    <s v="TAUFAN "/>
    <s v="PTG"/>
    <s v="MRC"/>
    <s v="Manage Service Layanan Perangkat Command Crisis Center PT Pertamina Gas"/>
    <n v="4600003902"/>
    <s v="Kontrak Tunggal"/>
    <x v="0"/>
    <d v="2024-01-10T00:00:00"/>
    <d v="2028-01-01T00:00:00"/>
    <d v="2028-12-31T00:00:00"/>
    <n v="728746180.39999998"/>
    <n v="522410958.19999999"/>
    <n v="624390621.5999999"/>
    <m/>
    <n v="0"/>
    <m/>
    <n v="0.71"/>
    <m/>
    <m/>
  </r>
  <r>
    <s v="PS-036-00"/>
    <x v="7"/>
    <x v="2"/>
    <s v="TAUFAN "/>
    <s v="PTG"/>
    <s v="MRC"/>
    <s v="Manage Service Layanan Perangkat Command Crisis Center PT Pertamina Gas"/>
    <n v="4600003902"/>
    <s v="Kontrak Tunggal"/>
    <x v="0"/>
    <d v="2024-01-10T00:00:00"/>
    <d v="2029-01-01T00:00:00"/>
    <d v="2029-02-04T00:00:00"/>
    <n v="121457696.73333333"/>
    <s v="-"/>
    <n v="52032551.799999997"/>
    <m/>
    <e v="#VALUE!"/>
    <m/>
    <n v="0.71"/>
    <m/>
    <m/>
  </r>
  <r>
    <s v="PS-037-00"/>
    <x v="0"/>
    <x v="0"/>
    <s v="SANDI "/>
    <s v="PLI"/>
    <s v="MRC"/>
    <s v="Managed Service Access Point dan Switch"/>
    <s v="035187/SOF/COM/V/2025"/>
    <s v="Kontrak Tunggal"/>
    <x v="1"/>
    <d v="2025-05-06T00:00:00"/>
    <d v="2025-06-23T00:00:00"/>
    <d v="2025-12-31T00:00:00"/>
    <n v="113270000"/>
    <n v="95254000.5"/>
    <s v="TBC Infra"/>
    <m/>
    <n v="0"/>
    <m/>
    <m/>
    <m/>
    <m/>
  </r>
  <r>
    <s v="PS-037-00"/>
    <x v="1"/>
    <x v="1"/>
    <s v="SANDI "/>
    <s v="PLI"/>
    <s v="MRC"/>
    <s v="Managed Service Access Point dan Switch"/>
    <s v="035187/SOF/COM/V/2025"/>
    <s v="Kontrak Tunggal"/>
    <x v="1"/>
    <d v="2025-05-06T00:00:00"/>
    <d v="2026-01-01T00:00:00"/>
    <d v="2026-12-31T00:00:00"/>
    <n v="69960000"/>
    <n v="58661601"/>
    <n v="0"/>
    <n v="0"/>
    <n v="0"/>
    <m/>
    <m/>
    <m/>
    <m/>
  </r>
  <r>
    <s v="PS-037-00"/>
    <x v="2"/>
    <x v="2"/>
    <s v="SANDI "/>
    <s v="PLI"/>
    <s v="MRC"/>
    <s v="Managed Service Access Point dan Switch"/>
    <s v="035187/SOF/COM/V/2025"/>
    <s v="Kontrak Tunggal"/>
    <x v="1"/>
    <d v="2025-05-06T00:00:00"/>
    <d v="2027-01-01T00:00:00"/>
    <d v="2027-12-31T00:00:00"/>
    <n v="69960000"/>
    <n v="58661601"/>
    <n v="0"/>
    <m/>
    <n v="0"/>
    <m/>
    <m/>
    <m/>
    <m/>
  </r>
  <r>
    <s v="PS-037-00"/>
    <x v="6"/>
    <x v="2"/>
    <s v="SANDI "/>
    <s v="PLI"/>
    <s v="MRC"/>
    <s v="Managed Service Access Point dan Switch"/>
    <s v="035187/SOF/COM/V/2025"/>
    <s v="Kontrak Tunggal"/>
    <x v="1"/>
    <d v="2025-05-06T00:00:00"/>
    <d v="2028-01-01T00:00:00"/>
    <d v="2028-06-22T00:00:00"/>
    <n v="34980000"/>
    <n v="29330800.5"/>
    <n v="0"/>
    <m/>
    <n v="0"/>
    <m/>
    <m/>
    <m/>
    <m/>
  </r>
  <r>
    <s v="PS-038-00"/>
    <x v="1"/>
    <x v="1"/>
    <s v="RIKI"/>
    <s v="PLI"/>
    <s v="MRC"/>
    <s v="Managed Service SD-WAN"/>
    <s v="034543/SOF/COM/VII/2022"/>
    <s v="Kontrak Tunggal"/>
    <x v="1"/>
    <d v="2022-10-04T00:00:00"/>
    <d v="2026-01-01T00:00:00"/>
    <d v="2026-12-31T00:00:00"/>
    <n v="408000000"/>
    <n v="0"/>
    <n v="0"/>
    <n v="0"/>
    <e v="#DIV/0!"/>
    <m/>
    <m/>
    <m/>
    <m/>
  </r>
  <r>
    <s v="PS-039-00"/>
    <x v="4"/>
    <x v="0"/>
    <s v="TAUFAN "/>
    <s v="PTG"/>
    <s v="MRC"/>
    <s v="Managed Service Sewa layanan IP Phone System"/>
    <n v="4600003973"/>
    <s v="Kontrak Tunggal"/>
    <x v="0"/>
    <d v="2024-03-27T00:00:00"/>
    <d v="2024-03-01T00:00:00"/>
    <d v="2024-12-31T00:00:00"/>
    <n v="278333333.33333331"/>
    <n v="260643740.83333331"/>
    <n v="259166666.66666669"/>
    <m/>
    <n v="0"/>
    <m/>
    <n v="0.56459999999999999"/>
    <m/>
    <m/>
  </r>
  <r>
    <s v="PS-039-00"/>
    <x v="0"/>
    <x v="0"/>
    <s v="TAUFAN "/>
    <s v="PTG"/>
    <s v="MRC"/>
    <s v="Managed Service Sewa layanan IP Phone System"/>
    <n v="4600003973"/>
    <s v="Kontrak Tunggal"/>
    <x v="0"/>
    <d v="2024-03-27T00:00:00"/>
    <d v="2025-01-01T00:00:00"/>
    <d v="2025-12-31T00:00:00"/>
    <n v="334000000"/>
    <n v="312772489"/>
    <n v="311000000"/>
    <m/>
    <n v="0"/>
    <m/>
    <n v="0.56459999999999999"/>
    <m/>
    <m/>
  </r>
  <r>
    <s v="PS-039-00"/>
    <x v="1"/>
    <x v="1"/>
    <s v="TAUFAN "/>
    <s v="PTG"/>
    <s v="MRC"/>
    <s v="Managed Service Sewa layanan IP Phone System"/>
    <n v="4600003973"/>
    <s v="Kontrak Tunggal"/>
    <x v="0"/>
    <d v="2024-03-27T00:00:00"/>
    <d v="2026-01-01T00:00:00"/>
    <d v="2026-12-31T00:00:00"/>
    <n v="334000000"/>
    <n v="312772489"/>
    <n v="311000000"/>
    <n v="122855945"/>
    <n v="0.39279651926164133"/>
    <m/>
    <n v="0.56459999999999999"/>
    <m/>
    <m/>
  </r>
  <r>
    <s v="PS-039-00"/>
    <x v="2"/>
    <x v="2"/>
    <s v="TAUFAN "/>
    <s v="PTG"/>
    <s v="MRC"/>
    <s v="Managed Service Sewa layanan IP Phone System"/>
    <n v="4600003973"/>
    <s v="Kontrak Tunggal"/>
    <x v="0"/>
    <d v="2024-03-27T00:00:00"/>
    <d v="2027-01-01T00:00:00"/>
    <d v="2027-12-31T00:00:00"/>
    <n v="334000000"/>
    <n v="312772489"/>
    <n v="311000000"/>
    <m/>
    <n v="0"/>
    <m/>
    <n v="0.56459999999999999"/>
    <m/>
    <m/>
  </r>
  <r>
    <s v="PS-039-00"/>
    <x v="6"/>
    <x v="2"/>
    <s v="TAUFAN "/>
    <s v="PTG"/>
    <s v="MRC"/>
    <s v="Managed Service Sewa layanan IP Phone System"/>
    <n v="4600003973"/>
    <s v="Kontrak Tunggal"/>
    <x v="0"/>
    <d v="2024-03-27T00:00:00"/>
    <d v="2028-01-01T00:00:00"/>
    <d v="2028-12-31T00:00:00"/>
    <n v="334000000"/>
    <n v="312772489"/>
    <n v="311000000"/>
    <m/>
    <n v="0"/>
    <m/>
    <n v="0.56459999999999999"/>
    <m/>
    <m/>
  </r>
  <r>
    <s v="PS-039-00"/>
    <x v="7"/>
    <x v="2"/>
    <s v="TAUFAN "/>
    <s v="PTG"/>
    <s v="MRC"/>
    <s v="Managed Service Sewa layanan IP Phone System"/>
    <n v="4600003973"/>
    <s v="Kontrak Tunggal"/>
    <x v="0"/>
    <d v="2024-03-27T00:00:00"/>
    <d v="2029-01-01T00:00:00"/>
    <d v="2029-02-28T00:00:00"/>
    <n v="55666666.666666664"/>
    <n v="52128748.166666664"/>
    <n v="51833333.333333336"/>
    <m/>
    <n v="0"/>
    <m/>
    <n v="0.56459999999999999"/>
    <m/>
    <m/>
  </r>
  <r>
    <s v="PS-040-00"/>
    <x v="4"/>
    <x v="0"/>
    <s v="RIKI"/>
    <s v="PLI"/>
    <s v="MRC+WO"/>
    <s v="Pekerjaan Layanan Cloud (dan VAPT)"/>
    <s v="013001.PKS/HK/PGNCOM/XII/2024"/>
    <s v="kontrak Induk"/>
    <x v="0"/>
    <d v="2024-12-12T00:00:00"/>
    <d v="2024-12-12T00:00:00"/>
    <d v="2024-12-31T00:00:00"/>
    <n v="0"/>
    <n v="0"/>
    <m/>
    <m/>
    <e v="#DIV/0!"/>
    <m/>
    <n v="0.75"/>
    <m/>
    <m/>
  </r>
  <r>
    <s v="PS-040-00"/>
    <x v="0"/>
    <x v="0"/>
    <s v="RIKI"/>
    <s v="PLI"/>
    <s v="MRC+WO"/>
    <s v="Pekerjaan Layanan Cloud (dan VAPT)"/>
    <s v="013001.PKS/HK/PGNCOM/XII/2024"/>
    <s v="kontrak Induk"/>
    <x v="0"/>
    <d v="2024-12-12T00:00:00"/>
    <d v="2025-01-01T00:00:00"/>
    <d v="2025-12-31T00:00:00"/>
    <n v="238880000"/>
    <n v="185900000"/>
    <n v="190000000"/>
    <m/>
    <n v="0"/>
    <m/>
    <n v="0.75"/>
    <m/>
    <m/>
  </r>
  <r>
    <s v="PS-040-00"/>
    <x v="1"/>
    <x v="1"/>
    <s v="RIKI"/>
    <s v="PLI"/>
    <s v="MRC+WO"/>
    <s v="Pekerjaan Layanan Cloud (dan VAPT)"/>
    <s v="013001.PKS/HK/PGNCOM/XII/2024"/>
    <s v="kontrak Induk"/>
    <x v="0"/>
    <d v="2024-12-12T00:00:00"/>
    <d v="2026-01-01T00:00:00"/>
    <d v="2026-12-31T00:00:00"/>
    <n v="238880000"/>
    <n v="169400000"/>
    <n v="121100000"/>
    <n v="164073600"/>
    <n v="0.96855726092089733"/>
    <m/>
    <n v="0.75"/>
    <m/>
    <m/>
  </r>
  <r>
    <s v="PS-040-00"/>
    <x v="2"/>
    <x v="2"/>
    <s v="RIKI"/>
    <s v="PLI"/>
    <s v="MRC+WO"/>
    <s v="Pekerjaan Layanan Cloud (dan VAPT)"/>
    <s v="013001.PKS/HK/PGNCOM/XII/2024"/>
    <s v="kontrak Induk"/>
    <x v="0"/>
    <d v="2024-12-12T00:00:00"/>
    <d v="2027-01-01T00:00:00"/>
    <d v="2027-12-11T00:00:00"/>
    <n v="238880000"/>
    <n v="169400000"/>
    <n v="121100000"/>
    <m/>
    <n v="0"/>
    <m/>
    <n v="0.75"/>
    <m/>
    <m/>
  </r>
  <r>
    <s v="PS-041-00"/>
    <x v="1"/>
    <x v="1"/>
    <s v="TITA"/>
    <s v="GGS"/>
    <s v="MRC"/>
    <s v="Pengadaan Sewa Aplikasi Absensi Online (Bimasakti)"/>
    <s v="002600.SPK/LG.01/GEI-321/2026"/>
    <s v="Kontrak Tunggal"/>
    <x v="0"/>
    <d v="2026-07-06T00:00:00"/>
    <d v="2026-07-06T00:00:00"/>
    <d v="2026-10-06T00:00:00"/>
    <n v="2097900"/>
    <n v="1080000"/>
    <n v="7680000"/>
    <m/>
    <n v="0"/>
    <m/>
    <m/>
    <m/>
    <m/>
  </r>
  <r>
    <s v="PS-042-00"/>
    <x v="1"/>
    <x v="1"/>
    <s v="TITA"/>
    <s v="SAKA"/>
    <s v="MRC"/>
    <s v="Pengadaan Sewa Aplikasi Absensi Online (Bimasakti)"/>
    <n v="4500616669"/>
    <s v="Kontrak Tunggal"/>
    <x v="0"/>
    <d v="2026-03-16T00:00:00"/>
    <d v="2026-03-20T00:00:00"/>
    <d v="2026-12-31T00:00:00"/>
    <n v="29250000"/>
    <n v="18000000"/>
    <m/>
    <n v="6000000"/>
    <n v="0.33333333333333331"/>
    <m/>
    <m/>
    <m/>
    <m/>
  </r>
  <r>
    <s v="PS-042-00"/>
    <x v="2"/>
    <x v="2"/>
    <s v="TITA"/>
    <s v="SAKA"/>
    <s v="MRC"/>
    <s v="Pengadaan Sewa Aplikasi Absensi Online (Bimasakti)"/>
    <n v="4500616669"/>
    <s v="Kontrak Tunggal"/>
    <x v="0"/>
    <d v="2026-03-16T00:00:00"/>
    <d v="2027-01-01T00:00:00"/>
    <d v="2027-03-19T00:00:00"/>
    <n v="9750000"/>
    <n v="6000000"/>
    <m/>
    <m/>
    <n v="0"/>
    <m/>
    <m/>
    <m/>
    <m/>
  </r>
  <r>
    <s v="PS-043-00"/>
    <x v="0"/>
    <x v="0"/>
    <s v="TITA"/>
    <s v="PTG"/>
    <s v="MRC+WO"/>
    <s v="Pengelolaan Integrasi Data dan Pemeliharaan Sistem Data Acquisition Transportasi Minyak &amp; Gas Bumi"/>
    <n v="3900560768"/>
    <s v="Kontrak Tunggal"/>
    <x v="1"/>
    <d v="2025-05-14T00:00:00"/>
    <d v="2025-05-16T00:00:00"/>
    <d v="2025-12-31T00:00:00"/>
    <n v="336062178"/>
    <n v="320363690.79166663"/>
    <n v="88324457"/>
    <m/>
    <n v="0"/>
    <m/>
    <n v="0.97019999999999995"/>
    <m/>
    <m/>
  </r>
  <r>
    <s v="PS-043-00"/>
    <x v="1"/>
    <x v="1"/>
    <s v="TITA"/>
    <s v="PTG"/>
    <s v="MRC+WO"/>
    <s v="Pengelolaan Integrasi Data dan Pemeliharaan Sistem Data Acquisition Transportasi Minyak &amp; Gas Bumi"/>
    <n v="3900560768"/>
    <s v="Kontrak Tunggal"/>
    <x v="1"/>
    <d v="2025-05-14T00:00:00"/>
    <d v="2026-01-01T00:00:00"/>
    <d v="2026-12-31T00:00:00"/>
    <n v="564984017"/>
    <n v="549194898.5"/>
    <n v="25616545"/>
    <n v="25616545"/>
    <n v="4.6643814554661232E-2"/>
    <m/>
    <n v="0.97019999999999995"/>
    <m/>
    <m/>
  </r>
  <r>
    <s v="PS-043-00"/>
    <x v="2"/>
    <x v="2"/>
    <s v="TITA"/>
    <s v="PTG"/>
    <s v="MRC+WO"/>
    <s v="Pengelolaan Integrasi Data dan Pemeliharaan Sistem Data Acquisition Transportasi Minyak &amp; Gas Bumi"/>
    <n v="3900560768"/>
    <s v="Kontrak Tunggal"/>
    <x v="1"/>
    <d v="2025-05-14T00:00:00"/>
    <d v="2027-01-01T00:00:00"/>
    <d v="2027-05-15T00:00:00"/>
    <n v="216903805"/>
    <n v="228831207.70833331"/>
    <m/>
    <m/>
    <n v="0"/>
    <m/>
    <n v="0.97019999999999995"/>
    <m/>
    <m/>
  </r>
  <r>
    <s v="PS-044-00"/>
    <x v="1"/>
    <x v="1"/>
    <s v="YIYIP"/>
    <s v="PPN"/>
    <s v="MRC+WO"/>
    <s v="Pengadaan Implementasi Security Operation Center (SOC) di Kantor Pusat Wisma Tugu II"/>
    <s v="No 3950471402"/>
    <s v="Kontrak Tunggal"/>
    <x v="1"/>
    <d v="2025-12-31T00:00:00"/>
    <d v="2026-01-01T00:00:00"/>
    <d v="2026-12-31T00:00:00"/>
    <n v="18297075778.666668"/>
    <n v="16021256359.666668"/>
    <n v="5633601252"/>
    <n v="5633601252"/>
    <n v="0.3516329260033893"/>
    <m/>
    <n v="0.35770000000000002"/>
    <m/>
    <m/>
  </r>
  <r>
    <s v="PS-044-00"/>
    <x v="2"/>
    <x v="2"/>
    <s v="YIYIP"/>
    <s v="PPN"/>
    <s v="MRC+WO"/>
    <s v="Pengadaan Implementasi Security Operation Center (SOC) di Kantor Pusat Wisma Tugu II"/>
    <s v="No 3950471402"/>
    <s v="Kontrak Tunggal"/>
    <x v="1"/>
    <d v="2025-12-31T00:00:00"/>
    <d v="2027-01-01T00:00:00"/>
    <d v="2027-12-31T00:00:00"/>
    <n v="12517075778.666668"/>
    <n v="10083296422.666668"/>
    <s v="TBC"/>
    <m/>
    <n v="0"/>
    <m/>
    <n v="0.35770000000000002"/>
    <m/>
    <m/>
  </r>
  <r>
    <s v="PS-044-00"/>
    <x v="6"/>
    <x v="2"/>
    <s v="YIYIP"/>
    <s v="PPN"/>
    <s v="MRC+WO"/>
    <s v="Pengadaan Implementasi Security Operation Center (SOC) di Kantor Pusat Wisma Tugu II"/>
    <s v="No 3950471402"/>
    <s v="Kontrak Tunggal"/>
    <x v="1"/>
    <d v="2025-12-31T00:00:00"/>
    <d v="2028-01-01T00:00:00"/>
    <d v="2028-12-31T00:00:00"/>
    <n v="12517075778.666668"/>
    <n v="10083296422.666668"/>
    <m/>
    <m/>
    <n v="0"/>
    <m/>
    <n v="0.35770000000000002"/>
    <m/>
    <m/>
  </r>
  <r>
    <s v="PS-045-00"/>
    <x v="0"/>
    <x v="0"/>
    <s v="SANDI "/>
    <s v="PIS"/>
    <s v="MRC"/>
    <s v="Penyediaan Perangkat Multimedia Ballroom dan Mini Galery"/>
    <n v="3900012063"/>
    <s v="Kontrak Tunggal"/>
    <x v="0"/>
    <d v="2024-10-31T00:00:00"/>
    <d v="2025-01-01T00:00:00"/>
    <d v="2025-12-31T00:00:00"/>
    <n v="1579808876"/>
    <n v="1524029400"/>
    <n v="1382000124"/>
    <m/>
    <n v="0"/>
    <m/>
    <n v="0.75190000000000001"/>
    <m/>
    <m/>
  </r>
  <r>
    <s v="PS-045-00"/>
    <x v="1"/>
    <x v="1"/>
    <s v="SANDI "/>
    <s v="PIS"/>
    <s v="MRC"/>
    <s v="Penyediaan Perangkat Multimedia Ballroom dan Mini Galery"/>
    <n v="3900012063"/>
    <s v="Kontrak Tunggal"/>
    <x v="0"/>
    <d v="2024-10-31T00:00:00"/>
    <d v="2026-01-01T00:00:00"/>
    <d v="2026-12-31T00:00:00"/>
    <n v="1579808876"/>
    <n v="1524029400"/>
    <n v="1382000124"/>
    <n v="471031699"/>
    <n v="0.30906995560584327"/>
    <m/>
    <n v="0.75190000000000001"/>
    <m/>
    <m/>
  </r>
  <r>
    <s v="PS-045-00"/>
    <x v="2"/>
    <x v="2"/>
    <s v="SANDI "/>
    <s v="PIS"/>
    <s v="MRC"/>
    <s v="Penyediaan Perangkat Multimedia Ballroom dan Mini Galery"/>
    <n v="3900012063"/>
    <s v="Kontrak Tunggal"/>
    <x v="0"/>
    <d v="2024-10-31T00:00:00"/>
    <d v="2027-01-01T00:00:00"/>
    <d v="2027-12-31T00:00:00"/>
    <n v="1579808876"/>
    <n v="1524029400"/>
    <n v="1382000124"/>
    <m/>
    <n v="0"/>
    <m/>
    <n v="0.75190000000000001"/>
    <m/>
    <m/>
  </r>
  <r>
    <s v="PS-045-00"/>
    <x v="6"/>
    <x v="2"/>
    <s v="SANDI "/>
    <s v="PIS"/>
    <s v="MRC"/>
    <s v="Penyediaan Perangkat Multimedia Ballroom dan Mini Galery"/>
    <n v="3900012063"/>
    <s v="Kontrak Tunggal"/>
    <x v="0"/>
    <d v="2024-10-31T00:00:00"/>
    <d v="2028-01-01T00:00:00"/>
    <d v="2028-12-31T00:00:00"/>
    <n v="1579808876"/>
    <n v="1524029400"/>
    <n v="1382000124"/>
    <m/>
    <n v="0"/>
    <m/>
    <n v="0.75190000000000001"/>
    <m/>
    <m/>
  </r>
  <r>
    <s v="PS-045-00"/>
    <x v="7"/>
    <x v="2"/>
    <s v="SANDI "/>
    <s v="PIS"/>
    <s v="MRC"/>
    <s v="Penyediaan Perangkat Multimedia Ballroom dan Mini Galery"/>
    <n v="3900012063"/>
    <s v="Kontrak Tunggal"/>
    <x v="0"/>
    <d v="2024-10-31T00:00:00"/>
    <d v="2029-01-01T00:00:00"/>
    <d v="2029-10-30T00:00:00"/>
    <n v="1316507396.6666667"/>
    <n v="1270024500"/>
    <n v="1382000124"/>
    <m/>
    <n v="0"/>
    <m/>
    <n v="0.75190000000000001"/>
    <m/>
    <m/>
  </r>
  <r>
    <s v="PS-046-00"/>
    <x v="4"/>
    <x v="0"/>
    <s v="TAUFAN "/>
    <s v="PET"/>
    <s v="MRC"/>
    <s v="Sewa Perangkat Radio Komunikasi di TLPG Tanjung Sekong, IT Tanjung Uban, FT Pulau Sambu, FT Kotabaru dan FT Baubau"/>
    <n v="3950307654"/>
    <s v="Kontrak Tunggal"/>
    <x v="0"/>
    <d v="2023-11-01T00:00:00"/>
    <d v="2024-02-01T00:00:00"/>
    <d v="2024-12-31T00:00:00"/>
    <n v="2220140816.666667"/>
    <n v="2269584952.8499999"/>
    <n v="100688261.61666667"/>
    <m/>
    <n v="0"/>
    <m/>
    <n v="0.76739999999999997"/>
    <m/>
    <m/>
  </r>
  <r>
    <s v="PS-046-00"/>
    <x v="0"/>
    <x v="0"/>
    <s v="TAUFAN "/>
    <s v="PET"/>
    <s v="MRC"/>
    <s v="Sewa Perangkat Radio Komunikasi di TLPG Tanjung Sekong, IT Tanjung Uban, FT Pulau Sambu, FT Kotabaru dan FT Baubau"/>
    <n v="3950307654"/>
    <s v="Kontrak Tunggal"/>
    <x v="0"/>
    <d v="2023-11-01T00:00:00"/>
    <d v="2025-01-01T00:00:00"/>
    <d v="2025-12-31T00:00:00"/>
    <n v="2421971800"/>
    <n v="2274212512.1999998"/>
    <n v="100688261.61666667"/>
    <m/>
    <n v="0"/>
    <m/>
    <n v="0.76739999999999997"/>
    <m/>
    <m/>
  </r>
  <r>
    <s v="PS-046-00"/>
    <x v="1"/>
    <x v="1"/>
    <s v="TAUFAN "/>
    <s v="PET"/>
    <s v="MRC"/>
    <s v="Sewa Perangkat Radio Komunikasi di TLPG Tanjung Sekong, IT Tanjung Uban, FT Pulau Sambu, FT Kotabaru dan FT Baubau"/>
    <n v="3950307654"/>
    <s v="Kontrak Tunggal"/>
    <x v="0"/>
    <d v="2023-11-01T00:00:00"/>
    <d v="2026-01-01T00:00:00"/>
    <d v="2026-12-31T00:00:00"/>
    <n v="2421971800"/>
    <n v="2274212512.1999998"/>
    <n v="100688261.61666667"/>
    <n v="639652798"/>
    <n v="0.28126342396261839"/>
    <m/>
    <n v="0.76739999999999997"/>
    <m/>
    <m/>
  </r>
  <r>
    <s v="PS-046-00"/>
    <x v="2"/>
    <x v="2"/>
    <s v="TAUFAN "/>
    <s v="PET"/>
    <s v="MRC"/>
    <s v="Sewa Perangkat Radio Komunikasi di TLPG Tanjung Sekong, IT Tanjung Uban, FT Pulau Sambu, FT Kotabaru dan FT Baubau"/>
    <n v="3950307654"/>
    <s v="Kontrak Tunggal"/>
    <x v="0"/>
    <d v="2023-11-01T00:00:00"/>
    <d v="2027-01-01T00:00:00"/>
    <d v="2027-12-31T00:00:00"/>
    <n v="2421971800"/>
    <n v="2274212512.1999998"/>
    <n v="100688261.61666667"/>
    <m/>
    <n v="0"/>
    <m/>
    <n v="0.76739999999999997"/>
    <m/>
    <m/>
  </r>
  <r>
    <s v="PS-046-00"/>
    <x v="6"/>
    <x v="2"/>
    <s v="TAUFAN "/>
    <s v="PET"/>
    <s v="MRC"/>
    <s v="Sewa Perangkat Radio Komunikasi di TLPG Tanjung Sekong, IT Tanjung Uban, FT Pulau Sambu, FT Kotabaru dan FT Baubau"/>
    <n v="3950307654"/>
    <s v="Kontrak Tunggal"/>
    <x v="0"/>
    <d v="2023-11-01T00:00:00"/>
    <d v="2028-01-01T00:00:00"/>
    <d v="2028-12-31T00:00:00"/>
    <n v="2421971800"/>
    <n v="2274212512.1999998"/>
    <n v="100688261.61666667"/>
    <m/>
    <n v="0"/>
    <m/>
    <n v="0.76739999999999997"/>
    <m/>
    <m/>
  </r>
  <r>
    <s v="PS-046-00"/>
    <x v="7"/>
    <x v="2"/>
    <s v="TAUFAN "/>
    <s v="PET"/>
    <s v="MRC"/>
    <s v="Sewa Perangkat Radio Komunikasi di TLPG Tanjung Sekong, IT Tanjung Uban, FT Pulau Sambu, FT Kotabaru dan FT Baubau"/>
    <n v="3950307654"/>
    <s v="Kontrak Tunggal"/>
    <x v="0"/>
    <d v="2023-11-01T00:00:00"/>
    <d v="2029-01-01T00:00:00"/>
    <d v="2029-01-31T00:00:00"/>
    <n v="201830983.33333334"/>
    <n v="189517709.34999999"/>
    <n v="100688261.61666667"/>
    <m/>
    <n v="0"/>
    <m/>
    <n v="0.76739999999999997"/>
    <m/>
    <m/>
  </r>
  <r>
    <s v="PS-047-00"/>
    <x v="8"/>
    <x v="0"/>
    <s v="GILANG "/>
    <s v="PHE"/>
    <s v="MRC"/>
    <s v="Layanan Telekomunikasi Site"/>
    <n v="4710003974"/>
    <s v="Kontrak Tunggal"/>
    <x v="1"/>
    <d v="2021-01-29T00:00:00"/>
    <d v="2021-01-29T00:00:00"/>
    <d v="2021-12-31T00:00:00"/>
    <n v="18783161000"/>
    <n v="33297193545"/>
    <n v="51100707359"/>
    <m/>
    <n v="0"/>
    <s v="Amd 1 No. 4710003974"/>
    <n v="0.93600000000000005"/>
    <m/>
    <m/>
  </r>
  <r>
    <s v="PS-047-00"/>
    <x v="5"/>
    <x v="0"/>
    <s v="GILANG "/>
    <s v="PHE"/>
    <s v="MRC"/>
    <s v="Layanan Telekomunikasi Site"/>
    <n v="4710003974"/>
    <s v="Kontrak Tunggal"/>
    <x v="1"/>
    <d v="2021-01-29T00:00:00"/>
    <d v="2022-01-01T00:00:00"/>
    <d v="2022-12-31T00:00:00"/>
    <n v="18783161000"/>
    <n v="7378476547"/>
    <n v="13229364945.82"/>
    <m/>
    <n v="0"/>
    <s v="Amd 1 No. 4710003974"/>
    <n v="0.93600000000000005"/>
    <m/>
    <m/>
  </r>
  <r>
    <s v="PS-047-00"/>
    <x v="3"/>
    <x v="0"/>
    <s v="GILANG "/>
    <s v="PHE"/>
    <s v="MRC"/>
    <s v="Layanan Telekomunikasi Site"/>
    <n v="4710003974"/>
    <s v="Kontrak Tunggal"/>
    <x v="1"/>
    <d v="2021-01-29T00:00:00"/>
    <d v="2023-01-01T00:00:00"/>
    <d v="2023-12-31T00:00:00"/>
    <n v="18783161000"/>
    <n v="7378476547"/>
    <n v="2598835459"/>
    <m/>
    <n v="0"/>
    <s v="Amd 1 No. 4710003974"/>
    <n v="0.93600000000000005"/>
    <m/>
    <m/>
  </r>
  <r>
    <s v="PS-047-00"/>
    <x v="4"/>
    <x v="0"/>
    <s v="GILANG "/>
    <s v="PHE"/>
    <s v="MRC"/>
    <s v="Layanan Telekomunikasi Site"/>
    <n v="4710003974"/>
    <s v="Kontrak Tunggal"/>
    <x v="1"/>
    <d v="2021-01-29T00:00:00"/>
    <d v="2024-01-01T00:00:00"/>
    <d v="2024-12-31T00:00:00"/>
    <n v="18783161000"/>
    <n v="7378476547"/>
    <n v="1658306359.5666699"/>
    <m/>
    <n v="0"/>
    <s v="Amd 1 No. 4710003974"/>
    <n v="0.93600000000000005"/>
    <m/>
    <m/>
  </r>
  <r>
    <s v="PS-047-00"/>
    <x v="0"/>
    <x v="0"/>
    <s v="GILANG "/>
    <s v="PHE"/>
    <s v="MRC"/>
    <s v="Layanan Telekomunikasi Site"/>
    <n v="4710003974"/>
    <s v="Kontrak Tunggal"/>
    <x v="1"/>
    <d v="2021-01-29T00:00:00"/>
    <d v="2025-01-01T00:00:00"/>
    <d v="2025-12-31T00:00:00"/>
    <n v="18783161000"/>
    <n v="7378476547"/>
    <n v="1450659625"/>
    <m/>
    <n v="0"/>
    <s v="Amd 1 No. 4710003974"/>
    <n v="0.93600000000000005"/>
    <m/>
    <m/>
  </r>
  <r>
    <s v="PS-047-00"/>
    <x v="1"/>
    <x v="1"/>
    <s v="GILANG "/>
    <s v="PHE"/>
    <s v="MRC"/>
    <s v="Layanan Telekomunikasi Site"/>
    <n v="4710003974"/>
    <s v="Kontrak Tunggal"/>
    <x v="1"/>
    <d v="2021-01-29T00:00:00"/>
    <d v="2026-01-01T00:00:00"/>
    <d v="2026-12-31T00:00:00"/>
    <n v="9300435854"/>
    <n v="4680547747"/>
    <m/>
    <n v="2288621886"/>
    <n v="0.48896454212370627"/>
    <s v="Amd 1 No. 4710003974"/>
    <n v="0.93600000000000005"/>
    <m/>
    <m/>
  </r>
  <r>
    <s v="PS-047-00"/>
    <x v="2"/>
    <x v="2"/>
    <m/>
    <s v="PHE"/>
    <s v="MRC"/>
    <s v="Layanan Telekomunikasi Site"/>
    <n v="4710003974"/>
    <s v="Kontrak Tunggal"/>
    <x v="1"/>
    <d v="2021-01-29T00:00:00"/>
    <d v="2027-01-01T00:00:00"/>
    <d v="2027-01-29T00:00:00"/>
    <n v="0"/>
    <n v="0"/>
    <m/>
    <m/>
    <e v="#DIV/0!"/>
    <s v="Amd 1 No. 4710003974"/>
    <n v="0.93600000000000005"/>
    <m/>
    <m/>
  </r>
  <r>
    <s v="PS-048-00"/>
    <x v="0"/>
    <x v="0"/>
    <s v="TITA "/>
    <s v="PIS "/>
    <s v="WO"/>
    <s v="Pekerjaan Jasa Pengelolaan Modul Smartship dan Pemeliharaan Sensor Kapal "/>
    <n v="4650000179"/>
    <s v="Kontrak Tunggal"/>
    <x v="0"/>
    <d v="2025-12-29T00:00:00"/>
    <d v="2025-12-29T00:00:00"/>
    <d v="2025-12-31T00:00:00"/>
    <n v="0"/>
    <m/>
    <m/>
    <m/>
    <e v="#DIV/0!"/>
    <m/>
    <m/>
    <m/>
    <m/>
  </r>
  <r>
    <s v="PS-048-00"/>
    <x v="1"/>
    <x v="1"/>
    <s v="TITA "/>
    <s v="PIS "/>
    <s v="WO"/>
    <s v="Pekerjaan Jasa Pengelolaan Modul Smartship dan Pemeliharaan Sensor Kapal "/>
    <n v="4650000179"/>
    <s v="Kontrak Tunggal"/>
    <x v="0"/>
    <d v="2025-12-29T00:00:00"/>
    <d v="2026-01-01T00:00:00"/>
    <d v="2026-12-31T00:00:00"/>
    <n v="23465729000"/>
    <n v="803667048"/>
    <m/>
    <n v="0"/>
    <n v="0"/>
    <m/>
    <m/>
    <m/>
    <m/>
  </r>
  <r>
    <s v="PS-048-00"/>
    <x v="2"/>
    <x v="2"/>
    <s v="TITA "/>
    <s v="PIS "/>
    <s v="WO"/>
    <s v="Pekerjaan Jasa Pengelolaan Modul Smartship dan Pemeliharaan Sensor Kapal "/>
    <n v="4650000179"/>
    <s v="Kontrak Tunggal"/>
    <x v="0"/>
    <d v="2025-12-29T00:00:00"/>
    <d v="2027-01-01T00:00:00"/>
    <d v="2027-12-31T00:00:00"/>
    <n v="4141011000"/>
    <n v="803667048"/>
    <m/>
    <m/>
    <n v="0"/>
    <m/>
    <m/>
    <m/>
    <m/>
  </r>
  <r>
    <s v="PS-049-00"/>
    <x v="1"/>
    <x v="1"/>
    <s v="ISPD-JIHAD "/>
    <s v="NSI"/>
    <s v="OTC"/>
    <s v="Pengadaan Jasa Sewa Radio Komunikasi"/>
    <n v="4500104096"/>
    <s v="Kontrak Tunggal"/>
    <x v="1"/>
    <d v="2026-03-31T00:00:00"/>
    <d v="2026-04-15T00:00:00"/>
    <d v="2026-12-31T00:00:00"/>
    <n v="150910548"/>
    <n v="134831546"/>
    <n v="235000000"/>
    <n v="235000000"/>
    <n v="1.7429155636916007"/>
    <m/>
    <m/>
    <m/>
    <m/>
  </r>
  <r>
    <s v="PS-049-00"/>
    <x v="2"/>
    <x v="2"/>
    <s v="ISPD-JIHAD "/>
    <s v="NSI"/>
    <s v="OTC"/>
    <s v="Pengadaan Jasa Sewa Radio Komunikasi"/>
    <n v="4500104096"/>
    <s v="Kontrak Tunggal"/>
    <x v="1"/>
    <d v="2026-03-31T00:00:00"/>
    <d v="2027-01-01T00:00:00"/>
    <d v="2027-04-14T00:00:00"/>
    <n v="0"/>
    <n v="0"/>
    <m/>
    <m/>
    <e v="#DIV/0!"/>
    <m/>
    <m/>
    <m/>
    <m/>
  </r>
  <r>
    <s v="PS-050-00"/>
    <x v="1"/>
    <x v="1"/>
    <s v="YIYIP-AHMAD"/>
    <s v="PAS"/>
    <s v="MRC+WO"/>
    <s v="Pengadaan SOC (Security Operation Center), PAM (Priviledge Access Management) dan Layanan Managed Service Security"/>
    <s v="008/SPK/DIRUT/PAS/2026"/>
    <s v="Kontrak Tunggal"/>
    <x v="1"/>
    <d v="2026-03-16T00:00:00"/>
    <d v="2026-05-21T00:00:00"/>
    <d v="2026-12-31T00:00:00"/>
    <n v="1366506700"/>
    <n v="1263037525"/>
    <n v="70000000"/>
    <n v="70000000"/>
    <n v="5.5421947974190235E-2"/>
    <m/>
    <m/>
    <m/>
    <m/>
  </r>
  <r>
    <s v="PS-050-00"/>
    <x v="1"/>
    <x v="1"/>
    <s v="YIYIP-AHMAD"/>
    <s v="PAS"/>
    <s v="MRC+WO"/>
    <s v="Pengadaan SOC (Security Operation Center), PAM (Priviledge Access Management) dan Layanan Managed Service Security"/>
    <s v="008/SPK/DIRUT/PAS/2026"/>
    <s v="Kontrak Tunggal"/>
    <x v="1"/>
    <d v="2026-03-16T00:00:00"/>
    <d v="2028-01-01T00:00:00"/>
    <d v="2026-05-31T00:00:00"/>
    <n v="389199100"/>
    <n v="353696095"/>
    <m/>
    <m/>
    <n v="0"/>
    <m/>
    <m/>
    <m/>
    <m/>
  </r>
  <r>
    <s v="PS-050-00"/>
    <x v="2"/>
    <x v="2"/>
    <s v="YIYIP-AHMAD"/>
    <s v="PAS"/>
    <s v="MRC+WO"/>
    <s v="Pengadaan SOC (Security Operation Center), PAM (Priviledge Access Management) dan Layanan Managed Service Security"/>
    <s v="008/SPK/DIRUT/PAS/2026"/>
    <s v="Kontrak Tunggal"/>
    <x v="1"/>
    <d v="2026-03-16T00:00:00"/>
    <d v="2027-01-01T00:00:00"/>
    <d v="2027-12-31T00:00:00"/>
    <n v="1180334700"/>
    <n v="1075490965"/>
    <m/>
    <m/>
    <n v="0"/>
    <m/>
    <s v="?"/>
    <m/>
    <m/>
  </r>
  <r>
    <s v="PS-051-00"/>
    <x v="1"/>
    <x v="1"/>
    <s v="YIYIP-AHMAD"/>
    <s v="PTPN "/>
    <s v="MRC"/>
    <s v="Penyediaan Layanan Managed Services Security Operation Center (SOC) PTPN III"/>
    <s v="DTDI/DPJ/12/2025"/>
    <s v="Kontrak Tunggal"/>
    <x v="0"/>
    <d v="2025-12-16T00:00:00"/>
    <d v="2026-01-01T00:00:00"/>
    <d v="2026-12-31T00:00:00"/>
    <n v="378646320"/>
    <n v="307544160"/>
    <s v="TBC"/>
    <n v="0"/>
    <n v="0"/>
    <m/>
    <n v="0.35770000000000002"/>
    <s v="Kontrak per entitas"/>
    <m/>
  </r>
  <r>
    <s v="PS-051-00"/>
    <x v="2"/>
    <x v="2"/>
    <s v="YIYIP-JIHAD"/>
    <s v="PTPN "/>
    <s v="MRC"/>
    <s v="Penyediaan Layanan Managed Services Security Operation Center (SOC) PTPN III"/>
    <s v="DTDI/DPJ/12/2025"/>
    <s v="Kontrak Tunggal"/>
    <x v="0"/>
    <d v="2025-12-16T00:00:00"/>
    <d v="2027-01-01T00:00:00"/>
    <d v="2027-12-31T00:00:00"/>
    <n v="378646320"/>
    <n v="307544160"/>
    <s v="TBC"/>
    <m/>
    <n v="0"/>
    <m/>
    <n v="0.35770000000000002"/>
    <s v="Kontrak per entitas"/>
    <m/>
  </r>
  <r>
    <s v="PS-051-00"/>
    <x v="6"/>
    <x v="2"/>
    <s v="YIYIP-JIHAD"/>
    <s v="PTPN "/>
    <s v="MRC"/>
    <s v="Penyediaan Layanan Managed Services Security Operation Center (SOC) PTPN III"/>
    <s v="DTDI/DPJ/12/2025"/>
    <s v="Kontrak Tunggal"/>
    <x v="0"/>
    <d v="2025-12-16T00:00:00"/>
    <d v="2028-01-01T00:00:00"/>
    <d v="2028-12-16T00:00:00"/>
    <n v="378646320"/>
    <n v="307544160"/>
    <s v="TBC"/>
    <m/>
    <n v="0"/>
    <m/>
    <n v="0.35770000000000002"/>
    <s v="Kontrak per entitas"/>
    <m/>
  </r>
  <r>
    <s v="PS-052-00"/>
    <x v="1"/>
    <x v="1"/>
    <m/>
    <s v="PTGN"/>
    <s v="OTC"/>
    <s v="Pengadaan Strategic Cyber Security Assesment &amp; Prevention Management Penetration Testing"/>
    <s v="003/PN2000/2026-S0"/>
    <s v="Kontrak Tunggal"/>
    <x v="0"/>
    <d v="2026-06-08T00:00:00"/>
    <d v="2026-06-22T00:00:00"/>
    <d v="2026-08-28T00:00:00"/>
    <n v="205255310"/>
    <n v="189787569"/>
    <m/>
    <m/>
    <n v="0"/>
    <m/>
    <m/>
    <m/>
    <m/>
  </r>
  <r>
    <s v="PS-053-00"/>
    <x v="1"/>
    <x v="1"/>
    <m/>
    <s v="YKP"/>
    <s v="OTC"/>
    <s v="Penetration Testing All Care System"/>
    <s v="belum ada dokumen kontrak"/>
    <s v="Kontrak Tunggal"/>
    <x v="0"/>
    <s v="TBC"/>
    <d v="2026-07-08T00:00:00"/>
    <d v="2026-12-31T00:00:00"/>
    <n v="199800000"/>
    <n v="163525000"/>
    <m/>
    <m/>
    <n v="0"/>
    <m/>
    <m/>
    <s v="Sirkuler"/>
    <m/>
  </r>
  <r>
    <s v="PS-055-00"/>
    <x v="1"/>
    <x v="1"/>
    <m/>
    <s v="PPN"/>
    <s v="MRC+WO"/>
    <s v="Jasa Keamanan Operasi Cyber Security PT Kilang Pertamina Internasional"/>
    <s v="031/KPI7200/2026-S0"/>
    <s v="kontrak Induk"/>
    <x v="0"/>
    <d v="2026-05-29T00:00:00"/>
    <d v="2026-07-06T00:00:00"/>
    <d v="2026-12-31T00:00:00"/>
    <n v="1327557083.3333333"/>
    <n v="1243379166.6666667"/>
    <m/>
    <n v="43500000"/>
    <n v="3.4985305501472802E-2"/>
    <m/>
    <n v="0.90010000000000001"/>
    <s v="SP3MK; under review legal"/>
    <m/>
  </r>
  <r>
    <s v="PS-055-00"/>
    <x v="2"/>
    <x v="2"/>
    <m/>
    <s v="PPN"/>
    <s v="MRC+WO"/>
    <s v="Jasa Keamanan Operasi Cyber Security PT Kilang Pertamina Internasional"/>
    <s v="031/KPI7200/2026-S0"/>
    <s v="kontrak Induk"/>
    <x v="0"/>
    <d v="2026-05-29T00:00:00"/>
    <d v="2027-01-01T00:00:00"/>
    <d v="2027-12-31T00:00:00"/>
    <n v="2655114166.6666665"/>
    <n v="2486758333.3333335"/>
    <m/>
    <m/>
    <n v="0"/>
    <m/>
    <n v="0.90010000000000001"/>
    <s v="SP3MK; under review legal"/>
    <m/>
  </r>
  <r>
    <s v="PS-055-00"/>
    <x v="6"/>
    <x v="2"/>
    <m/>
    <s v="PPN"/>
    <s v="MRC+WO"/>
    <s v="Jasa Keamanan Operasi Cyber Security PT Kilang Pertamina Internasional"/>
    <s v="031/KPI7200/2026-S0"/>
    <s v="kontrak Induk"/>
    <x v="0"/>
    <d v="2026-05-29T00:00:00"/>
    <d v="2028-01-01T00:00:00"/>
    <d v="2028-12-31T00:00:00"/>
    <n v="2655114166.6666665"/>
    <n v="2486758333.3333335"/>
    <m/>
    <m/>
    <n v="0"/>
    <m/>
    <n v="0.90010000000000001"/>
    <s v="SP3MK; under review legal"/>
    <m/>
  </r>
  <r>
    <s v="PS-055-00"/>
    <x v="7"/>
    <x v="2"/>
    <m/>
    <s v="PPN"/>
    <s v="MRC+WO"/>
    <s v="Jasa Keamanan Operasi Cyber Security PT Kilang Pertamina Internasional"/>
    <s v="031/KPI7200/2026-S0"/>
    <s v="kontrak Induk"/>
    <x v="0"/>
    <d v="2026-05-29T00:00:00"/>
    <d v="2029-01-01T00:00:00"/>
    <d v="2029-12-31T00:00:00"/>
    <n v="1327557083.3333333"/>
    <n v="1243379166.6666667"/>
    <m/>
    <m/>
    <n v="0"/>
    <m/>
    <n v="0.90010000000000001"/>
    <s v="SP3MK; under review legal"/>
    <m/>
  </r>
  <r>
    <s v="PS-056-00"/>
    <x v="1"/>
    <x v="1"/>
    <m/>
    <s v="PPN"/>
    <s v="WO"/>
    <s v="Pengadaan Jasa Pengembangan &amp; Pemeliharaan Aplikasi Pendukung IT Project Pertamina Patra Niaga"/>
    <s v="SP3MK 007/PPNJD0000/2026-S0"/>
    <s v="kontrak Induk"/>
    <x v="2"/>
    <d v="2026-06-24T00:00:00"/>
    <d v="2026-06-24T00:00:00"/>
    <d v="2026-12-31T00:00:00"/>
    <n v="8892220128"/>
    <n v="6788504000"/>
    <m/>
    <m/>
    <n v="0"/>
    <m/>
    <n v="0.55059999999999998"/>
    <m/>
    <m/>
  </r>
  <r>
    <s v="PS-056-00"/>
    <x v="2"/>
    <x v="2"/>
    <m/>
    <s v="PPN"/>
    <m/>
    <s v="Pengadaan Jasa Pengembangan &amp; Pemeliharaan Aplikasi Pendukung IT Project Pertamina Patra Niaga"/>
    <s v="SP3MK 007/PPNJD0000/2026-S0"/>
    <s v="kontrak Induk"/>
    <x v="2"/>
    <d v="2026-06-24T00:00:00"/>
    <d v="2027-01-01T00:00:00"/>
    <d v="2027-12-31T00:00:00"/>
    <n v="17784440256"/>
    <n v="13577008000"/>
    <m/>
    <n v="7234233"/>
    <n v="5.3282969266866458E-4"/>
    <m/>
    <n v="0.55059999999999998"/>
    <m/>
    <m/>
  </r>
  <r>
    <s v="PS-056-00"/>
    <x v="6"/>
    <x v="2"/>
    <m/>
    <s v="PPN"/>
    <m/>
    <s v="Pengadaan Jasa Pengembangan &amp; Pemeliharaan Aplikasi Pendukung IT Project Pertamina Patra Niaga"/>
    <s v="SP3MK 007/PPNJD0000/2026-S0"/>
    <s v="kontrak Induk"/>
    <x v="2"/>
    <d v="2026-06-24T00:00:00"/>
    <d v="2028-01-01T00:00:00"/>
    <d v="2028-06-23T00:00:00"/>
    <n v="8892220128"/>
    <n v="6788504000"/>
    <m/>
    <n v="7234233"/>
    <n v="1.0656593853373292E-3"/>
    <m/>
    <n v="0.55059999999999998"/>
    <m/>
    <m/>
  </r>
  <r>
    <s v="PS-057-00"/>
    <x v="1"/>
    <x v="1"/>
    <m/>
    <s v="KPI"/>
    <s v="OTC"/>
    <s v="Pengadaan Jasa Implementasi Data Governance Di PT Kilang Pertamina Internasional "/>
    <s v="SP-01/KPI72100/2025-S0"/>
    <s v="kontrak Induk"/>
    <x v="1"/>
    <d v="2025-12-18T00:00:00"/>
    <d v="2025-12-12T00:00:00"/>
    <d v="2026-12-11T00:00:00"/>
    <n v="3460000000"/>
    <n v="3359191500"/>
    <m/>
    <n v="2088000000"/>
    <n v="0.62157813866818845"/>
    <m/>
    <m/>
    <m/>
    <m/>
  </r>
  <r>
    <s v="PS-058-00"/>
    <x v="1"/>
    <x v="1"/>
    <m/>
    <s v="PGN"/>
    <s v="MRC"/>
    <s v="Penyediaan Perangkat Network System Refreshment"/>
    <s v="022200.PK/LG.01/ICT/2025"/>
    <s v="Kontrak Tunggal"/>
    <x v="2"/>
    <d v="2025-09-08T00:00:00"/>
    <d v="2026-01-01T00:00:00"/>
    <d v="2026-12-31T00:00:00"/>
    <n v="3150000000"/>
    <n v="2473112250"/>
    <m/>
    <n v="825000"/>
    <n v="3.3358776982322577E-4"/>
    <m/>
    <n v="0.47460000000000002"/>
    <m/>
    <m/>
  </r>
  <r>
    <s v="PS-058-00"/>
    <x v="2"/>
    <x v="2"/>
    <m/>
    <s v="PGN"/>
    <m/>
    <s v="Penyediaan Perangkat Network System Refreshment"/>
    <s v="022200.PK/LG.01/ICT/2025"/>
    <s v="Kontrak Tunggal"/>
    <x v="2"/>
    <d v="2025-09-08T00:00:00"/>
    <d v="2027-01-01T00:00:00"/>
    <d v="2027-12-31T00:00:00"/>
    <n v="3150000000"/>
    <n v="2473112250"/>
    <m/>
    <m/>
    <n v="0"/>
    <m/>
    <n v="0.47460000000000002"/>
    <m/>
    <m/>
  </r>
  <r>
    <s v="PS-058-00"/>
    <x v="6"/>
    <x v="2"/>
    <m/>
    <s v="PGN"/>
    <m/>
    <s v="Penyediaan Perangkat Network System Refreshment"/>
    <s v="022200.PK/LG.01/ICT/2025"/>
    <s v="Kontrak Tunggal"/>
    <x v="2"/>
    <d v="2025-09-08T00:00:00"/>
    <d v="2028-01-01T00:00:00"/>
    <d v="2028-12-31T00:00:00"/>
    <n v="3150000000"/>
    <n v="2473112250"/>
    <m/>
    <m/>
    <n v="0"/>
    <m/>
    <n v="0.47460000000000002"/>
    <m/>
    <m/>
  </r>
  <r>
    <s v="PS-059-00"/>
    <x v="4"/>
    <x v="0"/>
    <m/>
    <s v="PTM"/>
    <m/>
    <s v="Penyediaan Jasa Klasifikasi Keamanan Informasi"/>
    <n v="3950372483"/>
    <s v="kontrak Induk"/>
    <x v="2"/>
    <d v="2024-10-01T00:00:00"/>
    <d v="2024-10-01T00:00:00"/>
    <d v="2024-12-31T00:00:00"/>
    <n v="608983833.33333325"/>
    <n v="527285671.66666663"/>
    <m/>
    <m/>
    <n v="0"/>
    <m/>
    <m/>
    <m/>
    <m/>
  </r>
  <r>
    <s v="PS-059-00"/>
    <x v="0"/>
    <x v="0"/>
    <m/>
    <s v="PTM"/>
    <m/>
    <s v="Penyediaan Jasa Klasifikasi Keamanan Informasi"/>
    <n v="3950372483"/>
    <s v="kontrak Induk"/>
    <x v="2"/>
    <d v="2024-10-01T00:00:00"/>
    <d v="2025-01-01T00:00:00"/>
    <d v="2025-12-31T00:00:00"/>
    <n v="2435935333.333333"/>
    <n v="2109142686.6666665"/>
    <m/>
    <m/>
    <n v="0"/>
    <m/>
    <m/>
    <m/>
    <m/>
  </r>
  <r>
    <s v="PS-059-00"/>
    <x v="1"/>
    <x v="1"/>
    <m/>
    <s v="PTM"/>
    <s v="OTC"/>
    <s v="Penyediaan Jasa Klasifikasi Keamanan Informasi"/>
    <n v="3950372483"/>
    <s v="kontrak Induk"/>
    <x v="2"/>
    <d v="2024-10-01T00:00:00"/>
    <d v="2026-01-01T00:00:00"/>
    <d v="2026-12-31T00:00:00"/>
    <n v="2435935333.333333"/>
    <n v="2109142686.6666665"/>
    <m/>
    <n v="2002000000"/>
    <n v="0.94920083532328625"/>
    <m/>
    <m/>
    <m/>
    <m/>
  </r>
  <r>
    <s v="PS-059-00"/>
    <x v="2"/>
    <x v="2"/>
    <m/>
    <s v="PTM"/>
    <m/>
    <s v="Penyediaan Jasa Klasifikasi Keamanan Informasi"/>
    <n v="3950372483"/>
    <s v="kontrak Induk"/>
    <x v="2"/>
    <d v="2024-10-01T00:00:00"/>
    <d v="2027-01-01T00:00:00"/>
    <d v="2027-09-30T00:00:00"/>
    <n v="1826951500"/>
    <n v="1581857015"/>
    <m/>
    <m/>
    <n v="0"/>
    <m/>
    <m/>
    <m/>
    <m/>
  </r>
  <r>
    <s v="PS-060-00"/>
    <x v="1"/>
    <x v="1"/>
    <m/>
    <s v="PGN"/>
    <s v="MRC"/>
    <s v="Enhancement Aplikasi System Integrasi Datamart &amp; Tools Monitoring Dashboard Management Kinerja Niaga"/>
    <s v="belum ada dokumen kontrak"/>
    <s v="TBC"/>
    <x v="2"/>
    <s v="TBC"/>
    <d v="2026-01-01T00:00:00"/>
    <d v="2026-12-31T00:00:00"/>
    <s v="TBC"/>
    <s v="TBC"/>
    <m/>
    <n v="127600153"/>
    <e v="#VALUE!"/>
    <m/>
    <m/>
    <s v="Selesai finalisasi"/>
    <m/>
  </r>
  <r>
    <s v="PS-061-00"/>
    <x v="1"/>
    <x v="0"/>
    <m/>
    <s v="PGN"/>
    <s v="OTC"/>
    <s v="Pengadaan Monitor PGN GCG &amp; Compliance"/>
    <s v="PO-2026-06-26-921713797"/>
    <s v="Kontrak Tunggal"/>
    <x v="2"/>
    <d v="2026-06-26T00:00:00"/>
    <d v="2026-06-26T00:00:00"/>
    <d v="2026-07-31T00:00:00"/>
    <n v="13486512"/>
    <n v="12905750"/>
    <m/>
    <n v="0"/>
    <n v="0"/>
    <m/>
    <m/>
    <m/>
    <m/>
  </r>
  <r>
    <s v="PS-062-00"/>
    <x v="1"/>
    <x v="0"/>
    <m/>
    <s v="PTG"/>
    <s v="OTC"/>
    <s v="Security Awareness-Cyber Security BSSN Forum untuk AP/JV PT Pertamina Gas Tahun 2026"/>
    <s v="011/PG3300/2026-S0"/>
    <s v="Kontrak Tunggal"/>
    <x v="2"/>
    <d v="2026-07-15T00:00:00"/>
    <d v="2026-07-27T00:00:00"/>
    <d v="2026-07-30T00:00:00"/>
    <n v="264421341"/>
    <n v="215200450"/>
    <m/>
    <m/>
    <n v="0"/>
    <m/>
    <m/>
    <m/>
    <m/>
  </r>
  <r>
    <s v="PS-063-00"/>
    <x v="1"/>
    <x v="1"/>
    <m/>
    <s v="PTPN "/>
    <s v="MRC"/>
    <s v="Penyediaan Layanan Managed Services Security Operation Center (SOC) PTPN I"/>
    <s v="TBC"/>
    <s v="Kontrak Tunggal"/>
    <x v="0"/>
    <d v="2025-12-16T00:00:00"/>
    <d v="2026-01-01T00:00:00"/>
    <d v="2026-12-31T00:00:00"/>
    <n v="675292800"/>
    <n v="548486400"/>
    <m/>
    <n v="0"/>
    <n v="0"/>
    <m/>
    <m/>
    <m/>
    <m/>
  </r>
  <r>
    <s v="PS-063-00"/>
    <x v="2"/>
    <x v="2"/>
    <m/>
    <s v="PTPN "/>
    <s v="MRC"/>
    <s v="Penyediaan Layanan Managed Services Security Operation Center (SOC) PTPN I"/>
    <s v="TBC"/>
    <s v="Kontrak Tunggal"/>
    <x v="0"/>
    <d v="2025-12-16T00:00:00"/>
    <d v="2027-01-01T00:00:00"/>
    <d v="2027-12-31T00:00:00"/>
    <n v="675292800"/>
    <n v="548486400"/>
    <m/>
    <n v="0"/>
    <n v="0"/>
    <m/>
    <m/>
    <m/>
    <m/>
  </r>
  <r>
    <s v="PS-063-00"/>
    <x v="6"/>
    <x v="2"/>
    <m/>
    <s v="PTPN "/>
    <s v="MRC"/>
    <s v="Penyediaan Layanan Managed Services Security Operation Center (SOC) PTPN I"/>
    <s v="TBC"/>
    <s v="Kontrak Tunggal"/>
    <x v="0"/>
    <d v="2025-12-16T00:00:00"/>
    <d v="2028-01-01T00:00:00"/>
    <d v="2028-12-16T00:00:00"/>
    <n v="675292800"/>
    <n v="548486400"/>
    <m/>
    <n v="0"/>
    <n v="0"/>
    <m/>
    <m/>
    <m/>
    <m/>
  </r>
  <r>
    <s v="PS-064-00"/>
    <x v="1"/>
    <x v="1"/>
    <m/>
    <s v="PTPN "/>
    <s v="MRC"/>
    <s v="Penyediaan Layanan Managed Services Security Operation Center (SOC) PTPN IV"/>
    <s v="DTIS/SPJ/24A/XII/2025"/>
    <s v="Kontrak Tunggal"/>
    <x v="0"/>
    <d v="2025-12-16T00:00:00"/>
    <d v="2026-01-01T00:00:00"/>
    <d v="2026-12-31T00:00:00"/>
    <n v="1256526960"/>
    <n v="1020576480"/>
    <m/>
    <n v="0"/>
    <n v="0"/>
    <m/>
    <m/>
    <m/>
    <m/>
  </r>
  <r>
    <s v="PS-064-00"/>
    <x v="2"/>
    <x v="2"/>
    <m/>
    <s v="PTPN "/>
    <s v="MRC"/>
    <s v="Penyediaan Layanan Managed Services Security Operation Center (SOC) PTPN IV"/>
    <s v="DTIS/SPJ/24A/XII/2025"/>
    <s v="Kontrak Tunggal"/>
    <x v="0"/>
    <d v="2025-12-16T00:00:00"/>
    <d v="2027-01-01T00:00:00"/>
    <d v="2027-12-31T00:00:00"/>
    <n v="1256526960"/>
    <n v="1020576480"/>
    <m/>
    <n v="0"/>
    <n v="0"/>
    <m/>
    <m/>
    <m/>
    <m/>
  </r>
  <r>
    <s v="PS-064-00"/>
    <x v="6"/>
    <x v="2"/>
    <m/>
    <s v="PTPN "/>
    <s v="MRC"/>
    <s v="Penyediaan Layanan Managed Services Security Operation Center (SOC) PTPN IV"/>
    <s v="DTIS/SPJ/24A/XII/2025"/>
    <s v="Kontrak Tunggal"/>
    <x v="0"/>
    <d v="2025-12-16T00:00:00"/>
    <d v="2028-01-01T00:00:00"/>
    <d v="2028-12-16T00:00:00"/>
    <n v="1256526960"/>
    <n v="1020576480"/>
    <m/>
    <n v="0"/>
    <n v="0"/>
    <m/>
    <m/>
    <m/>
    <m/>
  </r>
  <r>
    <s v="PS-065-00"/>
    <x v="1"/>
    <x v="1"/>
    <m/>
    <s v="PTPN "/>
    <s v="MRC"/>
    <s v="Penyediaan Layanan Managed Services Security Operation Center (SOC) PT SGN"/>
    <s v="SPJ/SGN/HO/2025/TI0563"/>
    <s v="Kontrak Tunggal"/>
    <x v="0"/>
    <d v="2025-12-16T00:00:00"/>
    <d v="2026-01-01T00:00:00"/>
    <d v="2026-12-31T00:00:00"/>
    <n v="104911560"/>
    <n v="85211280"/>
    <m/>
    <n v="0"/>
    <n v="0"/>
    <m/>
    <m/>
    <m/>
    <m/>
  </r>
  <r>
    <s v="PS-065-00"/>
    <x v="2"/>
    <x v="2"/>
    <m/>
    <s v="PTPN "/>
    <s v="MRC"/>
    <s v="Penyediaan Layanan Managed Services Security Operation Center (SOC) PT SGN"/>
    <s v="SPJ/SGN/HO/2025/TI0563"/>
    <s v="Kontrak Tunggal"/>
    <x v="0"/>
    <d v="2025-12-16T00:00:00"/>
    <d v="2027-01-01T00:00:00"/>
    <d v="2027-12-31T00:00:00"/>
    <n v="104911560"/>
    <n v="85211280"/>
    <m/>
    <n v="0"/>
    <n v="0"/>
    <m/>
    <m/>
    <m/>
    <m/>
  </r>
  <r>
    <s v="PS-065-00"/>
    <x v="6"/>
    <x v="2"/>
    <m/>
    <s v="PTPN "/>
    <s v="MRC"/>
    <s v="Penyediaan Layanan Managed Services Security Operation Center (SOC) PT SGN"/>
    <s v="SPJ/SGN/HO/2025/TI0563"/>
    <s v="Kontrak Tunggal"/>
    <x v="0"/>
    <d v="2025-12-16T00:00:00"/>
    <d v="2028-01-01T00:00:00"/>
    <d v="2028-12-16T00:00:00"/>
    <n v="104911560"/>
    <n v="85211280"/>
    <m/>
    <n v="0"/>
    <n v="0"/>
    <m/>
    <m/>
    <m/>
    <m/>
  </r>
  <r>
    <s v="PS-066-00"/>
    <x v="1"/>
    <x v="1"/>
    <m/>
    <s v="PTPN "/>
    <s v="MRC"/>
    <s v="Penyediaan Layanan Managed Services Security Operation Center (SOC) PT RPN"/>
    <s v="121603/KS-RPN/XII/2025"/>
    <s v="Kontrak Tunggal"/>
    <x v="0"/>
    <d v="2025-12-16T00:00:00"/>
    <d v="2026-01-01T00:00:00"/>
    <d v="2026-12-31T00:00:00"/>
    <n v="120588000"/>
    <n v="97944000"/>
    <m/>
    <n v="0"/>
    <n v="0"/>
    <m/>
    <m/>
    <m/>
    <m/>
  </r>
  <r>
    <s v="PS-066-00"/>
    <x v="2"/>
    <x v="2"/>
    <m/>
    <s v="PTPN "/>
    <s v="MRC"/>
    <s v="Penyediaan Layanan Managed Services Security Operation Center (SOC) PT RPN"/>
    <s v="121603/KS-RPN/XII/2025"/>
    <s v="Kontrak Tunggal"/>
    <x v="0"/>
    <d v="2025-12-16T00:00:00"/>
    <d v="2027-01-01T00:00:00"/>
    <d v="2027-12-31T00:00:00"/>
    <n v="120588000"/>
    <n v="97944000"/>
    <m/>
    <n v="0"/>
    <n v="0"/>
    <m/>
    <m/>
    <m/>
    <m/>
  </r>
  <r>
    <s v="PS-066-00"/>
    <x v="6"/>
    <x v="2"/>
    <m/>
    <s v="PTPN "/>
    <s v="MRC"/>
    <s v="Penyediaan Layanan Managed Services Security Operation Center (SOC) PT RPN"/>
    <s v="121603/KS-RPN/XII/2025"/>
    <s v="Kontrak Tunggal"/>
    <x v="0"/>
    <d v="2025-12-16T00:00:00"/>
    <d v="2028-01-01T00:00:00"/>
    <d v="2028-12-16T00:00:00"/>
    <n v="120588000"/>
    <n v="97944000"/>
    <m/>
    <n v="0"/>
    <n v="0"/>
    <m/>
    <m/>
    <m/>
    <m/>
  </r>
  <r>
    <s v="PS-067-00"/>
    <x v="1"/>
    <x v="1"/>
    <m/>
    <s v="PTPN "/>
    <s v="MRC"/>
    <s v="Penyediaan Layanan Managed Services Security Operation Center (SOC) PT LPP AN"/>
    <s v="TBC"/>
    <s v="Kontrak Tunggal"/>
    <x v="0"/>
    <d v="2025-12-16T00:00:00"/>
    <d v="2026-01-01T00:00:00"/>
    <d v="2026-12-31T00:00:00"/>
    <n v="156764400"/>
    <n v="127327200"/>
    <m/>
    <n v="0"/>
    <n v="0"/>
    <m/>
    <m/>
    <m/>
    <m/>
  </r>
  <r>
    <s v="PS-067-00"/>
    <x v="2"/>
    <x v="2"/>
    <m/>
    <s v="PTPN "/>
    <s v="MRC"/>
    <s v="Penyediaan Layanan Managed Services Security Operation Center (SOC) PT LPP AN"/>
    <s v="TBC"/>
    <s v="Kontrak Tunggal"/>
    <x v="0"/>
    <d v="2025-12-16T00:00:00"/>
    <d v="2027-01-01T00:00:00"/>
    <d v="2027-12-31T00:00:00"/>
    <n v="156764400"/>
    <n v="127327200"/>
    <m/>
    <n v="0"/>
    <n v="0"/>
    <m/>
    <m/>
    <m/>
    <m/>
  </r>
  <r>
    <s v="PS-067-00"/>
    <x v="6"/>
    <x v="2"/>
    <m/>
    <s v="PTPN "/>
    <s v="MRC"/>
    <s v="Penyediaan Layanan Managed Services Security Operation Center (SOC) PT LPP AN"/>
    <s v="TBC"/>
    <s v="Kontrak Tunggal"/>
    <x v="0"/>
    <d v="2025-12-16T00:00:00"/>
    <d v="2028-01-01T00:00:00"/>
    <d v="2028-12-16T00:00:00"/>
    <n v="156764400"/>
    <n v="127327200"/>
    <m/>
    <n v="0"/>
    <n v="0"/>
    <m/>
    <m/>
    <m/>
    <m/>
  </r>
  <r>
    <s v="PS-068-00"/>
    <x v="1"/>
    <x v="1"/>
    <m/>
    <s v="PTPN "/>
    <s v="MRC"/>
    <s v="Penyediaan Layanan Managed Services Security Operation Center (SOC) PT KPBN"/>
    <s v="002/KPBN/Sperj/18/XII/2025"/>
    <s v="Kontrak Tunggal"/>
    <x v="0"/>
    <d v="2025-12-16T00:00:00"/>
    <d v="2026-01-01T00:00:00"/>
    <d v="2026-12-31T00:00:00"/>
    <n v="155558520"/>
    <n v="126347760"/>
    <m/>
    <n v="0"/>
    <n v="0"/>
    <m/>
    <m/>
    <m/>
    <m/>
  </r>
  <r>
    <s v="PS-068-00"/>
    <x v="2"/>
    <x v="2"/>
    <m/>
    <s v="PTPN "/>
    <s v="MRC"/>
    <s v="Penyediaan Layanan Managed Services Security Operation Center (SOC) PT KPBN"/>
    <s v="002/KPBN/Sperj/18/XII/2025"/>
    <s v="Kontrak Tunggal"/>
    <x v="0"/>
    <d v="2025-12-16T00:00:00"/>
    <d v="2027-01-01T00:00:00"/>
    <d v="2027-12-31T00:00:00"/>
    <n v="155558520"/>
    <n v="126347760"/>
    <m/>
    <n v="0"/>
    <n v="0"/>
    <m/>
    <m/>
    <m/>
    <m/>
  </r>
  <r>
    <s v="PS-068-00"/>
    <x v="6"/>
    <x v="2"/>
    <m/>
    <s v="PTPN "/>
    <s v="MRC"/>
    <s v="Penyediaan Layanan Managed Services Security Operation Center (SOC) PT KPBN"/>
    <s v="002/KPBN/Sperj/18/XII/2025"/>
    <s v="Kontrak Tunggal"/>
    <x v="0"/>
    <d v="2025-12-16T00:00:00"/>
    <d v="2028-01-01T00:00:00"/>
    <d v="2028-12-16T00:00:00"/>
    <n v="155558520"/>
    <n v="126347760"/>
    <m/>
    <n v="0"/>
    <n v="0"/>
    <m/>
    <m/>
    <m/>
    <m/>
  </r>
  <r>
    <s v="PS-069-00"/>
    <x v="1"/>
    <x v="1"/>
    <m/>
    <s v="PTPN "/>
    <s v="MRC"/>
    <s v="Penyediaan Layanan Managed Services Security Operation Center (SOC) PT IKN"/>
    <s v="TBC"/>
    <s v="Kontrak Tunggal"/>
    <x v="0"/>
    <d v="2025-12-16T00:00:00"/>
    <d v="2026-01-01T00:00:00"/>
    <d v="2026-12-31T00:00:00"/>
    <n v="31352880"/>
    <n v="25465440"/>
    <m/>
    <n v="0"/>
    <n v="0"/>
    <m/>
    <m/>
    <m/>
    <m/>
  </r>
  <r>
    <s v="PS-069-00"/>
    <x v="2"/>
    <x v="2"/>
    <m/>
    <s v="PTPN "/>
    <s v="MRC"/>
    <s v="Penyediaan Layanan Managed Services Security Operation Center (SOC) PT IKN"/>
    <s v="TBC"/>
    <s v="Kontrak Tunggal"/>
    <x v="0"/>
    <d v="2025-12-16T00:00:00"/>
    <d v="2027-01-01T00:00:00"/>
    <d v="2027-12-31T00:00:00"/>
    <n v="31352880"/>
    <n v="25465440"/>
    <m/>
    <n v="0"/>
    <n v="0"/>
    <m/>
    <m/>
    <m/>
    <m/>
  </r>
  <r>
    <s v="PS-069-00"/>
    <x v="6"/>
    <x v="2"/>
    <m/>
    <s v="PTPN "/>
    <s v="MRC"/>
    <s v="Penyediaan Layanan Managed Services Security Operation Center (SOC) PT IKN"/>
    <s v="TBC"/>
    <s v="Kontrak Tunggal"/>
    <x v="0"/>
    <d v="2025-12-16T00:00:00"/>
    <d v="2028-01-01T00:00:00"/>
    <d v="2028-12-16T00:00:00"/>
    <n v="31352880"/>
    <n v="25465440"/>
    <m/>
    <n v="0"/>
    <n v="0"/>
    <m/>
    <m/>
    <m/>
    <m/>
  </r>
  <r>
    <s v="PS-070-00"/>
    <x v="1"/>
    <x v="1"/>
    <m/>
    <s v="PTPN "/>
    <s v="MRC"/>
    <s v="Penyediaan Layanan Managed Services Security Operation Center (SOC) PT SPMN"/>
    <s v="TBC"/>
    <s v="Kontrak Tunggal"/>
    <x v="0"/>
    <d v="2025-12-16T00:00:00"/>
    <d v="2026-01-01T00:00:00"/>
    <d v="2026-12-31T00:00:00"/>
    <n v="13264680"/>
    <n v="10773840"/>
    <m/>
    <n v="0"/>
    <n v="0"/>
    <m/>
    <m/>
    <m/>
    <m/>
  </r>
  <r>
    <s v="PS-070-00"/>
    <x v="2"/>
    <x v="2"/>
    <m/>
    <s v="PTPN "/>
    <s v="MRC"/>
    <s v="Penyediaan Layanan Managed Services Security Operation Center (SOC) PT SPMN"/>
    <s v="TBC"/>
    <s v="Kontrak Tunggal"/>
    <x v="0"/>
    <d v="2025-12-16T00:00:00"/>
    <d v="2027-01-01T00:00:00"/>
    <d v="2027-12-31T00:00:00"/>
    <n v="13264680"/>
    <n v="10773840"/>
    <m/>
    <n v="0"/>
    <n v="0"/>
    <m/>
    <m/>
    <m/>
    <m/>
  </r>
  <r>
    <s v="PS-070-00"/>
    <x v="6"/>
    <x v="2"/>
    <m/>
    <s v="PTPN "/>
    <s v="MRC"/>
    <s v="Penyediaan Layanan Managed Services Security Operation Center (SOC) PT SPMN"/>
    <s v="TBC"/>
    <s v="Kontrak Tunggal"/>
    <x v="0"/>
    <d v="2025-12-16T00:00:00"/>
    <d v="2028-01-01T00:00:00"/>
    <d v="2028-12-16T00:00:00"/>
    <n v="13264680"/>
    <n v="10773840"/>
    <m/>
    <n v="0"/>
    <n v="0"/>
    <m/>
    <m/>
    <m/>
    <m/>
  </r>
  <r>
    <s v="PS-071-00"/>
    <x v="1"/>
    <x v="1"/>
    <m/>
    <s v="PTPN "/>
    <s v="MRC"/>
    <s v="Penyediaan Layanan Managed Services Security Operation Center (SOC) PT KIN"/>
    <s v="TBC"/>
    <s v="Kontrak Tunggal"/>
    <x v="0"/>
    <d v="2025-12-16T00:00:00"/>
    <d v="2026-01-01T00:00:00"/>
    <d v="2026-12-31T00:00:00"/>
    <n v="48235200"/>
    <n v="39177600"/>
    <m/>
    <n v="0"/>
    <n v="0"/>
    <m/>
    <m/>
    <m/>
    <m/>
  </r>
  <r>
    <s v="PS-071-00"/>
    <x v="2"/>
    <x v="2"/>
    <m/>
    <s v="PTPN "/>
    <s v="MRC"/>
    <s v="Penyediaan Layanan Managed Services Security Operation Center (SOC) PT KIN"/>
    <s v="TBC"/>
    <s v="Kontrak Tunggal"/>
    <x v="0"/>
    <d v="2025-12-16T00:00:00"/>
    <d v="2027-01-01T00:00:00"/>
    <d v="2027-12-31T00:00:00"/>
    <n v="48235200"/>
    <n v="39177600"/>
    <m/>
    <n v="0"/>
    <n v="0"/>
    <m/>
    <m/>
    <m/>
    <m/>
  </r>
  <r>
    <s v="PS-071-00"/>
    <x v="6"/>
    <x v="2"/>
    <m/>
    <s v="PTPN "/>
    <s v="MRC"/>
    <s v="Penyediaan Layanan Managed Services Security Operation Center (SOC) PT KIN"/>
    <s v="TBC"/>
    <s v="Kontrak Tunggal"/>
    <x v="0"/>
    <d v="2025-12-16T00:00:00"/>
    <d v="2028-01-01T00:00:00"/>
    <d v="2028-12-16T00:00:00"/>
    <n v="48235200"/>
    <n v="39177600"/>
    <m/>
    <n v="0"/>
    <n v="0"/>
    <m/>
    <m/>
    <m/>
    <m/>
  </r>
  <r>
    <s v="PS-072-00"/>
    <x v="1"/>
    <x v="1"/>
    <m/>
    <s v="PTPN "/>
    <s v="MRC"/>
    <s v="Penyediaan Layanan Managed Services Security Operation Center (SOC) PT BIN"/>
    <s v="-"/>
    <s v="Kontrak Tunggal"/>
    <x v="0"/>
    <d v="2025-12-16T00:00:00"/>
    <d v="2026-01-01T00:00:00"/>
    <d v="2026-12-31T00:00:00"/>
    <n v="13264680"/>
    <n v="10773840"/>
    <m/>
    <n v="0"/>
    <n v="0"/>
    <m/>
    <m/>
    <m/>
    <m/>
  </r>
  <r>
    <s v="PS-072-00"/>
    <x v="2"/>
    <x v="2"/>
    <m/>
    <s v="PTPN "/>
    <s v="MRC"/>
    <s v="Penyediaan Layanan Managed Services Security Operation Center (SOC) PT BIN"/>
    <s v="-"/>
    <s v="Kontrak Tunggal"/>
    <x v="0"/>
    <d v="2025-12-16T00:00:00"/>
    <d v="2027-01-01T00:00:00"/>
    <d v="2027-12-31T00:00:00"/>
    <n v="13264680"/>
    <n v="10773840"/>
    <m/>
    <n v="0"/>
    <n v="0"/>
    <m/>
    <m/>
    <m/>
    <m/>
  </r>
  <r>
    <s v="PS-072-00"/>
    <x v="6"/>
    <x v="2"/>
    <m/>
    <s v="PTPN "/>
    <s v="MRC"/>
    <s v="Penyediaan Layanan Managed Services Security Operation Center (SOC) PT BIN"/>
    <s v="-"/>
    <s v="Kontrak Tunggal"/>
    <x v="0"/>
    <d v="2025-12-16T00:00:00"/>
    <d v="2028-01-01T00:00:00"/>
    <d v="2028-12-16T00:00:00"/>
    <n v="13264680"/>
    <n v="10773840"/>
    <m/>
    <n v="0"/>
    <n v="0"/>
    <m/>
    <m/>
    <m/>
    <m/>
  </r>
  <r>
    <s v="PS-073-00"/>
    <x v="0"/>
    <x v="0"/>
    <m/>
    <s v="PTM"/>
    <s v="OTC"/>
    <s v="Penyediaan ATS &amp; Lisensi SIEM"/>
    <n v="3950458013"/>
    <s v="Kontrak Tunggal"/>
    <x v="0"/>
    <d v="2025-11-06T00:00:00"/>
    <d v="2025-11-06T00:00:00"/>
    <d v="2025-12-31T00:00:00"/>
    <n v="1021709756.097561"/>
    <n v="732068972.33170724"/>
    <m/>
    <n v="0"/>
    <n v="0"/>
    <m/>
    <m/>
    <m/>
    <m/>
  </r>
  <r>
    <s v="PS-073-00"/>
    <x v="1"/>
    <x v="1"/>
    <m/>
    <s v="PTM"/>
    <s v="OTC"/>
    <s v="Penyediaan ATS &amp; Lisensi SIEM"/>
    <n v="3950458013"/>
    <s v="Kontrak Tunggal"/>
    <x v="0"/>
    <d v="2025-11-06T00:00:00"/>
    <d v="2026-01-01T00:00:00"/>
    <d v="2026-12-31T00:00:00"/>
    <n v="6130258536.5853653"/>
    <n v="4392413833.9902439"/>
    <m/>
    <n v="0"/>
    <n v="0"/>
    <m/>
    <n v="1E-4"/>
    <m/>
    <m/>
  </r>
  <r>
    <s v="PS-073-00"/>
    <x v="2"/>
    <x v="2"/>
    <m/>
    <s v="PTM"/>
    <s v="OTC"/>
    <s v="Penyediaan ATS &amp; Lisensi SIEM"/>
    <n v="3950458013"/>
    <s v="Kontrak Tunggal"/>
    <x v="0"/>
    <d v="2025-11-06T00:00:00"/>
    <d v="2027-01-01T00:00:00"/>
    <d v="2027-12-31T00:00:00"/>
    <n v="6130258536.5853653"/>
    <n v="4392413833.9902439"/>
    <m/>
    <n v="0"/>
    <n v="0"/>
    <m/>
    <m/>
    <m/>
    <m/>
  </r>
  <r>
    <s v="PS-073-00"/>
    <x v="6"/>
    <x v="2"/>
    <m/>
    <s v="PTM"/>
    <s v="OTC"/>
    <s v="Penyediaan ATS &amp; Lisensi SIEM"/>
    <n v="3950458013"/>
    <s v="Kontrak Tunggal"/>
    <x v="0"/>
    <d v="2025-11-06T00:00:00"/>
    <d v="2028-01-01T00:00:00"/>
    <d v="2028-12-31T00:00:00"/>
    <n v="6130258536.5853653"/>
    <n v="4392413833.9902439"/>
    <m/>
    <n v="0"/>
    <n v="0"/>
    <m/>
    <m/>
    <m/>
    <m/>
  </r>
  <r>
    <s v="PS-073-00"/>
    <x v="7"/>
    <x v="2"/>
    <m/>
    <s v="PTM"/>
    <s v="OTC"/>
    <s v="Penyediaan ATS &amp; Lisensi SIEM"/>
    <n v="3950458013"/>
    <s v="Kontrak Tunggal"/>
    <x v="0"/>
    <d v="2025-11-06T00:00:00"/>
    <d v="2029-01-01T00:00:00"/>
    <d v="2029-02-06T00:00:00"/>
    <n v="1532564634.1463413"/>
    <n v="1098103458.497561"/>
    <m/>
    <n v="0"/>
    <n v="0"/>
    <m/>
    <m/>
    <m/>
    <m/>
  </r>
  <r>
    <m/>
    <x v="9"/>
    <x v="3"/>
    <m/>
    <m/>
    <m/>
    <m/>
    <m/>
    <m/>
    <x v="2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16A85-B058-48F9-A6CB-117D3515A8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22">
    <pivotField showAll="0"/>
    <pivotField axis="axisPage" showAll="0">
      <items count="11">
        <item x="8"/>
        <item x="5"/>
        <item x="3"/>
        <item x="4"/>
        <item x="0"/>
        <item x="1"/>
        <item x="2"/>
        <item x="6"/>
        <item x="7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5" hier="-1"/>
  </pageFields>
  <dataFields count="2">
    <dataField name="Count of Project Name" fld="6" subtotal="count" baseField="0" baseItem="0"/>
    <dataField name="Count of Skema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88A31-147C-2A49-814D-4DB2D83B7D4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B23" firstHeaderRow="1" firstDataRow="1" firstDataCol="1" rowPageCount="1" colPageCount="1"/>
  <pivotFields count="22">
    <pivotField showAll="0"/>
    <pivotField axis="axisPage" showAll="0">
      <items count="11">
        <item x="8"/>
        <item x="5"/>
        <item x="3"/>
        <item x="4"/>
        <item x="0"/>
        <item x="1"/>
        <item x="2"/>
        <item x="6"/>
        <item x="7"/>
        <item x="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2"/>
    </i>
    <i t="grand">
      <x/>
    </i>
  </rowItems>
  <colItems count="1">
    <i/>
  </colItems>
  <pageFields count="1">
    <pageField fld="1" item="5" hier="-1"/>
  </pageFields>
  <dataFields count="1">
    <dataField name="Hitung dari TKDN" fld="19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2" type="button" dataOnly="0" labelOnly="1" outline="0" axis="axisRow" fieldPosition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FD736-DD47-470C-9D50-77875E567A5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1:C14" firstHeaderRow="0" firstDataRow="1" firstDataCol="1" rowPageCount="1" colPageCount="1"/>
  <pivotFields count="22">
    <pivotField showAll="0"/>
    <pivotField axis="axisPage" showAll="0">
      <items count="11">
        <item x="8"/>
        <item x="5"/>
        <item x="3"/>
        <item x="4"/>
        <item x="0"/>
        <item x="1"/>
        <item x="2"/>
        <item x="6"/>
        <item x="7"/>
        <item x="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5" hier="-1"/>
  </pageFields>
  <dataFields count="2">
    <dataField name="Count of Project Name" fld="6" subtotal="count" baseField="0" baseItem="0"/>
    <dataField name="Sum of Project_Value" fld="13" baseField="2" baseItem="0"/>
  </dataFields>
  <formats count="10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" type="button" dataOnly="0" labelOnly="1" outline="0" axis="axisRow" fieldPosition="0"/>
    </format>
    <format dxfId="11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outline="0" fieldPosition="0">
        <references count="1">
          <reference field="4294967294" count="1">
            <x v="1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7BC0DD-F144-4B40-A3E5-DA37FA88FA1B}" name="Tabel9" displayName="Tabel9" ref="K4:N37" totalsRowShown="0" dataDxfId="165">
  <autoFilter ref="K4:N37" xr:uid="{757BC0DD-F144-4B40-A3E5-DA37FA88FA1B}"/>
  <tableColumns count="4">
    <tableColumn id="1" xr3:uid="{A3178DA5-6133-9845-BB8D-19EE3F315D19}" name="Nomor" dataDxfId="164"/>
    <tableColumn id="4" xr3:uid="{7EAF19A3-317C-394D-83C0-AB3CC11254BD}" name="CLIENT2" dataDxfId="163"/>
    <tableColumn id="2" xr3:uid="{CAED2924-EE17-A94C-8D9A-4653079213E7}" name="INITIAL" dataDxfId="162"/>
    <tableColumn id="3" xr3:uid="{98CC1627-ABDA-BF40-91E4-369AC6069EBB}" name="GRUP" dataDxfId="16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C9C1CF-B719-0941-9507-E6046BE73893}" name="Tabel4" displayName="Tabel4" ref="B2:L294" totalsRowShown="0" headerRowDxfId="209" headerRowBorderDxfId="208" tableBorderDxfId="207" totalsRowBorderDxfId="206">
  <autoFilter ref="B2:L294" xr:uid="{4CC9C1CF-B719-0941-9507-E6046BE73893}">
    <filterColumn colId="1">
      <filters>
        <filter val="PS-019-00"/>
      </filters>
    </filterColumn>
    <filterColumn colId="5">
      <filters>
        <filter val="CHYNTIA"/>
      </filters>
    </filterColumn>
  </autoFilter>
  <tableColumns count="11">
    <tableColumn id="1" xr3:uid="{33C85865-4103-D047-B122-1DFD3683336B}" name="No" dataDxfId="205"/>
    <tableColumn id="2" xr3:uid="{620849A3-F865-8F4B-8B8E-2E6F8D626478}" name="Kode Project" dataDxfId="204"/>
    <tableColumn id="3" xr3:uid="{4BEF7169-694E-4F47-94F2-9C880019F09E}" name="Nama Pekerjaan" dataDxfId="203"/>
    <tableColumn id="4" xr3:uid="{85287773-5367-1247-9119-60BA7C151AB9}" name="Aktivity" dataDxfId="202"/>
    <tableColumn id="5" xr3:uid="{60AC9C4B-388A-9642-B9B8-DE35801C4DD9}" name="Satuan Kerja" dataDxfId="201"/>
    <tableColumn id="6" xr3:uid="{52A520CC-4B37-404E-A39D-85D25BA43C2C}" name="PIC" dataDxfId="200"/>
    <tableColumn id="7" xr3:uid="{CBF1BBDF-B8F1-D241-9FEE-D4F8DF891A93}" name="Prognosa Biaya" dataDxfId="199"/>
    <tableColumn id="8" xr3:uid="{CB253705-E55D-2C44-9313-A05A377A8BF5}" name="Periode" dataDxfId="198"/>
    <tableColumn id="9" xr3:uid="{A20FA964-BAEA-A246-A29E-3F9CA039C79A}" name="Partner" dataDxfId="197"/>
    <tableColumn id="10" xr3:uid="{267D6081-860C-2B4D-A960-1D2A18FCE8A5}" name="Keterangan" dataDxfId="196"/>
    <tableColumn id="11" xr3:uid="{64A1645B-5941-4E4F-88AB-53A081E6B111}" name="Tahun" dataDxfId="195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4B4DA3-B67B-374C-9184-77E8FFA5CC58}" name="Tabel6" displayName="Tabel6" ref="A2:K77" totalsRowShown="0" headerRowDxfId="190">
  <autoFilter ref="A2:K77" xr:uid="{174B4DA3-B67B-374C-9184-77E8FFA5CC58}"/>
  <tableColumns count="11">
    <tableColumn id="1" xr3:uid="{E99738FC-38F4-6B45-88D8-E5FA55F0C4EC}" name="Project_ID" dataDxfId="189"/>
    <tableColumn id="2" xr3:uid="{7015BE14-D26A-C74E-9ACE-BCDBC2C2D585}" name="Project_client" dataDxfId="188"/>
    <tableColumn id="3" xr3:uid="{1DE0F729-9F70-6E47-A144-C79BEAAF9DCB}" name="Project Name" dataDxfId="187"/>
    <tableColumn id="4" xr3:uid="{1648199F-BC11-F54F-9BB0-BDFF94A9A66D}" name="Kontrak" dataDxfId="186"/>
    <tableColumn id="5" xr3:uid="{AF073A5C-DF6E-8A4C-B7E9-8653906E1E7C}" name="KAK" dataDxfId="185"/>
    <tableColumn id="6" xr3:uid="{338F39F4-7F78-4242-A9C1-920864BE2CAD}" name="Cost based" dataDxfId="184"/>
    <tableColumn id="7" xr3:uid="{237B4290-78E8-2C4F-AD5B-BA9FCDDAFCF1}" name="Kertas kerja PSM" dataDxfId="183"/>
    <tableColumn id="8" xr3:uid="{DEA29711-769E-2A45-B140-F203ADBCD3F3}" name="TKDN" dataDxfId="182"/>
    <tableColumn id="9" xr3:uid="{C180F0BB-E002-AB4E-AC89-A85802D05065}" name="Amandemen" dataDxfId="181"/>
    <tableColumn id="11" xr3:uid="{F374D791-0E88-DB41-A04D-E6B0CE2CFE44}" name="Keterangan" dataDxfId="180"/>
    <tableColumn id="10" xr3:uid="{84298987-ECB4-BE4F-AE5B-1CAB1C29F4F9}" name="Link" dataDxfId="17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5D7CE0-2650-8741-AC32-E7B6A28F6F07}" name="Tabel3" displayName="Tabel3" ref="A2:G67" totalsRowShown="0" headerRowDxfId="173">
  <autoFilter ref="A2:G67" xr:uid="{0A5D7CE0-2650-8741-AC32-E7B6A28F6F07}"/>
  <tableColumns count="7">
    <tableColumn id="1" xr3:uid="{1031E52D-1461-874F-9239-128AF4496731}" name="Project_ID" dataDxfId="172"/>
    <tableColumn id="2" xr3:uid="{10A6BF5A-4D1C-A349-B4CC-BB64A2803DD5}" name="Project_client" dataDxfId="171"/>
    <tableColumn id="3" xr3:uid="{7A63BA02-BD55-EF4D-A294-9B6C0E604C10}" name="Project Name" dataDxfId="170"/>
    <tableColumn id="4" xr3:uid="{44220834-E490-FD40-A6CD-1B33E12CF801}" name="Account Manager"/>
    <tableColumn id="7" xr3:uid="{48CE0BA7-DB16-DE4C-A03F-09609B620F57}" name="Pre-Sales"/>
    <tableColumn id="5" xr3:uid="{BB93C6A7-4D08-A54A-8AD2-FEAF71C35071}" name="Project Manager"/>
    <tableColumn id="6" xr3:uid="{325EDF9B-96F8-DD42-9DE7-DB392ACDCE82}" name="Service Manag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2F8941-02ED-B348-AD43-B04F7A74B4E4}" name="Tabel26" displayName="Tabel26" ref="A2:BA50" totalsRowShown="0" headerRowDxfId="154" dataDxfId="153">
  <autoFilter ref="A2:BA50" xr:uid="{6A2F8941-02ED-B348-AD43-B04F7A74B4E4}"/>
  <tableColumns count="53">
    <tableColumn id="1" xr3:uid="{BB0C3BEC-D96C-2A41-8C86-7E5140D3BB33}" name="ID" dataDxfId="152"/>
    <tableColumn id="2" xr3:uid="{0B31B904-440F-A047-9F67-DADA2C6B3832}" name="Client" dataDxfId="151"/>
    <tableColumn id="3" xr3:uid="{08E71093-D6F4-A640-BBE5-4916D7ECE1F8}" name="Project Name" dataDxfId="150"/>
    <tableColumn id="6" xr3:uid="{AF5EEF2A-8E1F-8D4B-8816-33F2F6649A91}" name="TKDN" dataDxfId="149"/>
    <tableColumn id="7" xr3:uid="{340EA22A-A3C7-5049-8865-1334BE47CF64}" name="Description" dataDxfId="148"/>
    <tableColumn id="8" xr3:uid="{86528345-11F7-0642-8EA0-6414E3E92F46}" name="Jan-26" dataDxfId="147"/>
    <tableColumn id="9" xr3:uid="{99FF1317-6034-354D-8971-0AC572FC824D}" name="Feb-26" dataDxfId="146"/>
    <tableColumn id="10" xr3:uid="{74A924CA-8377-C74B-A61D-A9EEB091A896}" name="Mar-26" dataDxfId="145"/>
    <tableColumn id="11" xr3:uid="{59AF6856-B086-5E4A-A81C-D84BA975B8C5}" name="Apr-26" dataDxfId="144"/>
    <tableColumn id="12" xr3:uid="{8DF05868-CC80-C34E-92F9-0E0793AFEE07}" name="Mei-26" dataDxfId="143"/>
    <tableColumn id="13" xr3:uid="{5E2210DD-0504-664B-912C-117CD2CFA9B8}" name="Jun-26" dataDxfId="142"/>
    <tableColumn id="14" xr3:uid="{F9B98354-F026-0D4D-B84F-3F325F343CF8}" name="Jul-26" dataDxfId="141"/>
    <tableColumn id="15" xr3:uid="{02582C13-415E-BA4D-A371-BD27E00EA539}" name="Agu-26" dataDxfId="140"/>
    <tableColumn id="16" xr3:uid="{4AE02635-3B94-504D-B97F-67C55BBB56DA}" name="Sep-26" dataDxfId="139"/>
    <tableColumn id="17" xr3:uid="{E5FC662F-582C-F54C-9075-10F539589956}" name="Okt-26" dataDxfId="138"/>
    <tableColumn id="18" xr3:uid="{BA7BC3E2-3B9F-0F48-84C5-8BF1C266A027}" name="Nov-26" dataDxfId="137"/>
    <tableColumn id="19" xr3:uid="{D99F96EF-ED67-0148-80EC-A5956BB383C6}" name="Des-26" dataDxfId="136"/>
    <tableColumn id="20" xr3:uid="{4BA25BBA-51B7-5544-BCDD-EE74C0B267BC}" name="Jan-27" dataDxfId="135"/>
    <tableColumn id="21" xr3:uid="{ED182B8B-DA7C-7E4F-AFED-64BBE34C8791}" name="Feb-27" dataDxfId="134"/>
    <tableColumn id="22" xr3:uid="{C62CFBEC-8D6D-E942-B990-6EA094122AF9}" name="Mar-27" dataDxfId="133"/>
    <tableColumn id="23" xr3:uid="{7196B622-9A1D-4F4F-A32F-1858A0CCA888}" name="Apr-27" dataDxfId="132"/>
    <tableColumn id="24" xr3:uid="{76FCF8B9-040E-1B4E-A669-B1522ED944F9}" name="Mei-27" dataDxfId="131"/>
    <tableColumn id="25" xr3:uid="{CD45252B-550C-7E40-AED6-BA26B89922E2}" name="Jun-27" dataDxfId="130"/>
    <tableColumn id="26" xr3:uid="{B7A2F8C2-AF4A-344C-BE2D-D1AE0235FF35}" name="Jul-27" dataDxfId="129"/>
    <tableColumn id="27" xr3:uid="{EEF54FC3-5B0B-0645-9449-5348CF2F9CD3}" name="Agu-27" dataDxfId="128"/>
    <tableColumn id="28" xr3:uid="{51E2FF72-506D-B243-B263-457A0139C802}" name="Sep-27" dataDxfId="127"/>
    <tableColumn id="29" xr3:uid="{EB907F3B-BB23-5149-8A4D-9E66B3588685}" name="Okt-27" dataDxfId="126"/>
    <tableColumn id="30" xr3:uid="{BB24A1A4-525C-0548-B19A-F73A7A377287}" name="Nov-27" dataDxfId="125"/>
    <tableColumn id="31" xr3:uid="{70DF6C61-6031-424C-A3BF-8535FA9EAC5C}" name="Des-27" dataDxfId="124"/>
    <tableColumn id="32" xr3:uid="{C128B707-835A-2847-9EC4-99C4B1EF2928}" name="Jan-28" dataDxfId="123"/>
    <tableColumn id="33" xr3:uid="{78BCA5C3-A275-8749-92B7-73373096B979}" name="Feb-28" dataDxfId="122"/>
    <tableColumn id="34" xr3:uid="{A8B90820-E6F4-474D-B547-5DB16550C391}" name="Mar-28" dataDxfId="121"/>
    <tableColumn id="35" xr3:uid="{25A87A22-45B7-434E-970C-468FC6BA3F48}" name="Apr-28" dataDxfId="120"/>
    <tableColumn id="36" xr3:uid="{0274EEC4-311D-0948-B973-79C5824A6251}" name="Mei-28" dataDxfId="119"/>
    <tableColumn id="37" xr3:uid="{0A041B4D-C6DA-8348-9A8E-8026DE6AE3AB}" name="Jun-28" dataDxfId="118"/>
    <tableColumn id="38" xr3:uid="{AB335334-3BD0-914B-BC72-86EC94B998CF}" name="Jul-28" dataDxfId="117"/>
    <tableColumn id="39" xr3:uid="{2DF0421B-EAE1-1549-82F4-36F00AD66030}" name="Agu-28" dataDxfId="116"/>
    <tableColumn id="40" xr3:uid="{992A31FB-0A79-6146-964E-A48F383D4A2F}" name="Sep-28" dataDxfId="115"/>
    <tableColumn id="41" xr3:uid="{9206F238-8414-5A4D-9AD8-7CF55FC022A1}" name="Okt-28" dataDxfId="114"/>
    <tableColumn id="42" xr3:uid="{DD6DA0F8-7CB3-D94C-9A4A-E41B30D51146}" name="Nov-28" dataDxfId="113"/>
    <tableColumn id="43" xr3:uid="{0DAA9EDD-3BC8-484E-BEED-242C3CAA8C3C}" name="Des-28" dataDxfId="112"/>
    <tableColumn id="44" xr3:uid="{5FFB899A-338F-6947-BEC5-C84220751DFF}" name="Jan-29" dataDxfId="111"/>
    <tableColumn id="45" xr3:uid="{3643D627-619C-F844-A7DB-578EF98688F5}" name="Feb-29" dataDxfId="110"/>
    <tableColumn id="46" xr3:uid="{58730F84-A313-E241-83B1-4BD3D1D295BA}" name="Mar-29" dataDxfId="109"/>
    <tableColumn id="47" xr3:uid="{A2A9E0EF-A0B4-1349-8EA9-BE3096B4E61A}" name="Apr-29" dataDxfId="108"/>
    <tableColumn id="48" xr3:uid="{5009167E-E808-9C4D-AB79-8135C65B9C59}" name="Mei-29" dataDxfId="107"/>
    <tableColumn id="49" xr3:uid="{D0FC2040-67B4-AD48-9982-3B6B08F71076}" name="Jun-29" dataDxfId="106"/>
    <tableColumn id="50" xr3:uid="{11968CA6-7BF2-0A42-88D4-C1B7D543EE3A}" name="Jul-29" dataDxfId="105"/>
    <tableColumn id="51" xr3:uid="{652CD3F7-3B30-084E-9717-038C66469140}" name="Agu-29" dataDxfId="104"/>
    <tableColumn id="52" xr3:uid="{5E632B5A-2C7F-3849-ABA1-2840B6012368}" name="Sep-29" dataDxfId="103"/>
    <tableColumn id="53" xr3:uid="{EDE7D835-F30E-B741-8389-6AA16F20DBBA}" name="Okt-29" dataDxfId="102"/>
    <tableColumn id="54" xr3:uid="{3788F58E-DCCB-CD4C-8C39-A2D0CF2433B9}" name="Nov-29" dataDxfId="101"/>
    <tableColumn id="55" xr3:uid="{4E286C88-A500-164E-810C-45D776202E20}" name="Des-29" dataDxfId="10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3294E3-DCA3-CE41-A5D6-37B935A6A0A7}" name="Tabel2" displayName="Tabel2" ref="B6:O625" totalsRowShown="0" headerRowDxfId="99" dataDxfId="98" tableBorderDxfId="97">
  <autoFilter ref="B6:O625" xr:uid="{B93294E3-DCA3-CE41-A5D6-37B935A6A0A7}"/>
  <tableColumns count="14">
    <tableColumn id="1" xr3:uid="{0022F35E-0088-F544-A6F7-60B8E8FE0C2C}" name="NO" dataDxfId="96" totalsRowDxfId="95"/>
    <tableColumn id="3" xr3:uid="{989F561B-09D0-4F4C-A990-603AAA213CE4}" name="KODE PROJECT" dataDxfId="94" totalsRowDxfId="93"/>
    <tableColumn id="4" xr3:uid="{7A624527-9442-C64D-A6FF-C76A0C01E8E3}" name="NAMA PROJECT" dataDxfId="92" totalsRowDxfId="91"/>
    <tableColumn id="5" xr3:uid="{20F949ED-31F0-1047-8845-EB9F2DCD4993}" name="ITEM BIAYA" dataDxfId="90" totalsRowDxfId="89"/>
    <tableColumn id="6" xr3:uid="{59441687-A574-6D46-8B51-71D05EFA31BB}" name="SATUAN KERJA" dataDxfId="88" totalsRowDxfId="87"/>
    <tableColumn id="7" xr3:uid="{6CE359B2-5B5F-9E4F-A0F5-E7EF424DB82C}" name="PIC" dataDxfId="86" totalsRowDxfId="85"/>
    <tableColumn id="8" xr3:uid="{945A566C-DD81-3041-9698-59D2A5997CBB}" name="PERIODE" dataDxfId="84" totalsRowDxfId="83"/>
    <tableColumn id="9" xr3:uid="{1A4299AB-D9B0-1241-AA1E-E578E9615C28}" name="REALISASI BIAYA" dataDxfId="82" totalsRowDxfId="81"/>
    <tableColumn id="10" xr3:uid="{FFD7DA3D-B0EB-E445-B179-153A9F4CF8FA}" name="STATUS" dataDxfId="80" totalsRowDxfId="79"/>
    <tableColumn id="11" xr3:uid="{61294811-399E-3642-B8B7-898583BCBCA6}" name="VENDOR" dataDxfId="78" totalsRowDxfId="77"/>
    <tableColumn id="2" xr3:uid="{4E181747-8D3E-4607-94F8-19AFF7C7CC34}" name="SIFAT" dataDxfId="76" totalsRowDxfId="75"/>
    <tableColumn id="12" xr3:uid="{5DFD072F-6894-3D43-88F2-6C2378B3987E}" name="LINK EVIDENCE" dataDxfId="74" totalsRowDxfId="73"/>
    <tableColumn id="13" xr3:uid="{CBDC92A3-91F3-4FF0-BD4E-A5A4E98C530D}" name="Tahun" dataDxfId="72"/>
    <tableColumn id="14" xr3:uid="{091AAF1B-D8F9-4DCD-A07F-23543DCC0D49}" name="Kolom1" dataDxfId="7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1927BB-7981-4F38-B546-2F90145B2E1B}" name="tProjectsMaster212" displayName="tProjectsMaster212" ref="A2:V239" totalsRowShown="0" headerRowDxfId="56" dataDxfId="54" headerRowBorderDxfId="55" tableBorderDxfId="53">
  <autoFilter ref="A2:V239" xr:uid="{9848D944-28E4-4050-A325-522763E454DF}">
    <filterColumn colId="19">
      <customFilters>
        <customFilter operator="notEqual" val=" "/>
      </customFilters>
    </filterColumn>
  </autoFilter>
  <sortState ref="A166:V172">
    <sortCondition ref="A2:A239"/>
  </sortState>
  <tableColumns count="22">
    <tableColumn id="2" xr3:uid="{A88710B3-1F32-4F0B-A953-208F22627A21}" name="Project_ID" dataDxfId="52" totalsRowDxfId="51"/>
    <tableColumn id="19" xr3:uid="{3F3971A2-DECA-4ED1-B2D8-E9C2225BBACE}" name="Year" dataDxfId="50" totalsRowDxfId="49">
      <calculatedColumnFormula>YEAR(tProjectsMaster212[[#This Row],[End Date]])</calculatedColumnFormula>
    </tableColumn>
    <tableColumn id="16" xr3:uid="{D0179CA9-1896-4606-8760-3D66B05312DE}" name="Status" dataDxfId="48"/>
    <tableColumn id="14" xr3:uid="{E981AD70-1448-4254-808D-6E9209FCF30D}" name="Service Manager " dataDxfId="47"/>
    <tableColumn id="11" xr3:uid="{EC8C1C49-29BF-4EA7-9A0D-507596BD3F37}" name="Project_client" dataDxfId="46" totalsRowDxfId="45"/>
    <tableColumn id="21" xr3:uid="{CB447720-B18F-8C41-89BE-4FCE656B1331}" name="Project clasification" dataDxfId="44" totalsRowDxfId="43"/>
    <tableColumn id="3" xr3:uid="{5F24F94A-0879-4370-BD8F-6C2FEB16D2D5}" name="Project Name" dataDxfId="42" totalsRowDxfId="41"/>
    <tableColumn id="5" xr3:uid="{FAC07158-1730-49D1-AB35-152A59E6451A}" name="Contract Number" dataDxfId="40" totalsRowDxfId="39"/>
    <tableColumn id="10" xr3:uid="{8891997E-DC2D-4714-BBF9-8FDB769FF521}" name="Category Contract" dataDxfId="38" totalsRowDxfId="37"/>
    <tableColumn id="22" xr3:uid="{03811E79-D13F-FE47-BB71-B047682B17CB}" name="Skema" dataDxfId="36" totalsRowDxfId="35"/>
    <tableColumn id="15" xr3:uid="{C7195400-E2DF-4FB0-9577-FAD7CD16D9C4}" name="Date of Contract" dataDxfId="34" totalsRowDxfId="33"/>
    <tableColumn id="7" xr3:uid="{7C1D63A6-2DE0-428D-90B1-A9AC53249F7F}" name="Start Date" dataDxfId="32" totalsRowDxfId="31"/>
    <tableColumn id="8" xr3:uid="{343A1819-7D9C-4A1C-8ACD-84686ED592BE}" name="End Date" dataDxfId="30" totalsRowDxfId="29"/>
    <tableColumn id="12" xr3:uid="{0D055B13-384F-4886-9CF1-D2E599F9F02F}" name="Project_Value" dataDxfId="28">
      <calculatedColumnFormula>(59000000000/12)*10</calculatedColumnFormula>
    </tableColumn>
    <tableColumn id="9" xr3:uid="{A3639935-BEAC-4C9C-9A53-D3D95BE48266}" name="Costbased" dataDxfId="27"/>
    <tableColumn id="20" xr3:uid="{816E2764-E1B9-40E4-909A-51752510FEEB}" name="Actual Cost konfirmasi " dataDxfId="26" totalsRowDxfId="25"/>
    <tableColumn id="13" xr3:uid="{C8FB7F09-7461-624F-A231-878A80BF405A}" name="Actual cost (admin)" dataDxfId="24" totalsRowDxfId="23">
      <calculatedColumnFormula>SUMIF('REALISASI 2026'!$C$7:$C$1048576,tProjectsMaster212[[#This Row],[Project_ID]],'REALISASI 2026'!$I$7:$I$1048576)</calculatedColumnFormula>
    </tableColumn>
    <tableColumn id="18" xr3:uid="{0149E366-246F-E948-9863-A89F74530448}" name="Persentase" dataDxfId="22" totalsRowDxfId="21">
      <calculatedColumnFormula>tProjectsMaster212[[#This Row],[Actual cost (admin)]]/tProjectsMaster212[[#This Row],[Costbased]]</calculatedColumnFormula>
    </tableColumn>
    <tableColumn id="4" xr3:uid="{0B7873B1-2BEC-402F-971F-8761234B76CC}" name="Amandemen" dataDxfId="20" totalsRowDxfId="19"/>
    <tableColumn id="1" xr3:uid="{3B86F5B3-54A4-4ED3-AEC8-7728DC41BDA5}" name="TKDN" dataDxfId="18"/>
    <tableColumn id="17" xr3:uid="{36120B4D-620B-4060-B23E-440E6936842D}" name="Description" dataDxfId="17"/>
    <tableColumn id="6" xr3:uid="{B0E58FD8-209C-724D-8138-95B0B1DB1877}" name="Resource Management" dataDxfId="16" totalsRowDxfId="15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22" dT="2026-07-22T03:47:20.07" personId="{10A36B8B-66F5-3E4E-B31A-DFF9CD4F6FC7}" id="{0A7644DA-EBA4-499A-B89E-4D024E5D4FBA}">
    <text>cb tali kasih hanya 3 kali, mei, juli, dan oktober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55" dT="2026-04-21T04:09:14.24" personId="{D962A201-B0A2-46B1-9CFB-0D51AB22C19C}" id="{14A5C771-7A07-4EB1-940B-9DCDAD2111E4}">
    <text xml:space="preserve">actual hanya tahun pertama </text>
  </threadedComment>
  <threadedComment ref="P82" dT="2026-04-29T07:19:41.22" personId="{D962A201-B0A2-46B1-9CFB-0D51AB22C19C}" id="{04D201B2-D12E-4B4D-A6DF-0310BE386401}">
    <text>diluar angka pekerja (CHYNTIA) dan Ryan Rizky (ISPD)</text>
  </threadedComment>
  <threadedComment ref="O111" dT="2026-04-21T04:46:34.24" personId="{D962A201-B0A2-46B1-9CFB-0D51AB22C19C}" id="{4A435CC4-AA26-B54F-9549-599890D9287F}">
    <text>tambahan RAM 560.00.0000</text>
  </threadedComment>
  <threadedComment ref="P111" dT="2026-04-21T04:47:32.60" personId="{D962A201-B0A2-46B1-9CFB-0D51AB22C19C}" id="{8124B977-D470-4BD2-B479-21F8807E5236}">
    <text>RAM AKTUAL (495000000+57000000)</text>
  </threadedComment>
  <threadedComment ref="P153" dT="2026-04-29T07:24:30.17" personId="{D962A201-B0A2-46B1-9CFB-0D51AB22C19C}" id="{098BA4F0-6A74-4182-8A1D-B67F1CF144FE}">
    <text>ISPD+CHYNTIA</text>
  </threadedComment>
  <threadedComment ref="P182" dT="2026-04-29T07:44:14.53" personId="{D962A201-B0A2-46B1-9CFB-0D51AB22C19C}" id="{9E6F94E6-AC48-47A5-A520-00AB67B1BE2A}">
    <text>JIHAD belum serah terima ISPD ke OSM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:f:/s/DMO2-PCRM/IgCsRLBL2_LsRo1QHUoSknSnAXCb8N6xNZUsnUHsCVaoNB8?e=Lmnera" TargetMode="External"/><Relationship Id="rId2" Type="http://schemas.openxmlformats.org/officeDocument/2006/relationships/hyperlink" Target="../../../../:f:/s/DMO2-PCRM/IgBnwHSOUn66QoH34x3htf89ASdipyIBsv00gn3ibQPgNLc?e=MtxWgJ" TargetMode="External"/><Relationship Id="rId1" Type="http://schemas.openxmlformats.org/officeDocument/2006/relationships/hyperlink" Target="../../../../:f:/s/DMO2-PCRM/IgASuCEZCAbwS4dTWZtfUIlOAZ0KEBbZrDai6DCVE9BpVSY?e=itBd1r" TargetMode="External"/><Relationship Id="rId5" Type="http://schemas.openxmlformats.org/officeDocument/2006/relationships/table" Target="../tables/table3.xml"/><Relationship Id="rId4" Type="http://schemas.openxmlformats.org/officeDocument/2006/relationships/hyperlink" Target="../../../../:f:/s/DMO2-PCRM/IgCNRiBmI44mT6pucSsTsBTZAdqE9gW99ghve7sRg-nm-bE?e=yqNY5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pgascom-my.sharepoint.com/:b:/g/personal/masyita_mustikas_pgncom_co_id/IQDlngBISm2pQbTfx2kxOEujAdCmoNCR2gMtlsMXmv-NEvs?e=tLGMOM" TargetMode="External"/><Relationship Id="rId18" Type="http://schemas.openxmlformats.org/officeDocument/2006/relationships/hyperlink" Target="../../../../:b:/s/DMO2-PCRM/IQClNeqznP4bQ5QroE3-v96KAUuPDlVcFnrlX-rS6CPv2e4?e=aSsfag" TargetMode="External"/><Relationship Id="rId26" Type="http://schemas.openxmlformats.org/officeDocument/2006/relationships/hyperlink" Target="../../../../:f:/s/DMO2-PCRM/IgBQ7FEh6QQPT5lDLWLgAYHcAYboY_1BYvJssDR_jMewymM?e=7Nts9y" TargetMode="External"/><Relationship Id="rId21" Type="http://schemas.openxmlformats.org/officeDocument/2006/relationships/hyperlink" Target="../../../../:b:/s/DMO2-PCRM/IQCI2Oyaws0HRZqv7GKA3RqXARubDiZzzZoD14gBu1YkFTI?e=oCCkGy" TargetMode="External"/><Relationship Id="rId34" Type="http://schemas.openxmlformats.org/officeDocument/2006/relationships/hyperlink" Target="https://pgascom-my.sharepoint.com/:b:/g/personal/mekar_fauziah_pgncom_co_id/IQD8d1UONWmzTJbvN_J79rJPAf7Qc30P62Z_tcFL5kjkpeY?e=ZcuCoe" TargetMode="External"/><Relationship Id="rId7" Type="http://schemas.openxmlformats.org/officeDocument/2006/relationships/hyperlink" Target="../../../../:f:/s/DMO2-PCRM/IgAJnHx-WVMvQalbvOsTUoSuAeG_aIoqjGHj83RU14EWXB0?e=fBauUI" TargetMode="External"/><Relationship Id="rId12" Type="http://schemas.openxmlformats.org/officeDocument/2006/relationships/hyperlink" Target="../../../../:f:/s/DMO2-PCRM/IgDpbR0ePFbXSLiFWmPXENg8AXXdnQ3p6TFTj5IuwncSowU?e=75xVTB" TargetMode="External"/><Relationship Id="rId17" Type="http://schemas.openxmlformats.org/officeDocument/2006/relationships/hyperlink" Target="../../../../:b:/s/DMO2-PCRM/IQDR4o5mcI9cQ4qQAzN0lAYXAeMhH7iEN067ifJ1MKhofFA?e=UDnugS" TargetMode="External"/><Relationship Id="rId25" Type="http://schemas.openxmlformats.org/officeDocument/2006/relationships/hyperlink" Target="../../../../:f:/s/DMO2-PCRM/IgDDcA8odNPaTafE2NIS8N0CAX4pkWOtGucyXwmUz5GxTs8?e=jL0Crg" TargetMode="External"/><Relationship Id="rId33" Type="http://schemas.openxmlformats.org/officeDocument/2006/relationships/hyperlink" Target="https://pgascom-my.sharepoint.com/:b:/g/personal/mekar_fauziah_pgncom_co_id/IQBfFWqxinMYSL3xHTZ7Gre6ARkx2W3UCkpkOqJ6ukfdlkE?e=rJzJVb" TargetMode="External"/><Relationship Id="rId38" Type="http://schemas.microsoft.com/office/2019/04/relationships/namedSheetView" Target="../namedSheetViews/namedSheetView1.xml"/><Relationship Id="rId2" Type="http://schemas.openxmlformats.org/officeDocument/2006/relationships/hyperlink" Target="../../../../:b:/s/DMO2-PCRM/IQAtGGK1hbEETZY00mKJgKdHASwLqOVFZgj3ppkh7D31-Qk?e=LqcP1b" TargetMode="External"/><Relationship Id="rId16" Type="http://schemas.openxmlformats.org/officeDocument/2006/relationships/hyperlink" Target="https://pgascom-my.sharepoint.com/:f:/g/personal/masyita_mustikas_pgncom_co_id/IgBa0DMa7USxTLdsyO4izZP5AaGCjm5L-4GsaK5kpWRRdQc?e=sWVZWd" TargetMode="External"/><Relationship Id="rId20" Type="http://schemas.openxmlformats.org/officeDocument/2006/relationships/hyperlink" Target="../../../../:b:/s/DMO2-PCRM/IQCI2Oyaws0HRZqv7GKA3RqXARubDiZzzZoD14gBu1YkFTI?e=oCCkGy" TargetMode="External"/><Relationship Id="rId29" Type="http://schemas.openxmlformats.org/officeDocument/2006/relationships/hyperlink" Target="https://pgascom-my.sharepoint.com/:b:/g/personal/mekar_fauziah_pgncom_co_id/IQAYdlEyjTNlTpbD3FqzZSGyATqlQHJTbYuJcBKtd2vKnJo?e=FNfRbw" TargetMode="External"/><Relationship Id="rId1" Type="http://schemas.openxmlformats.org/officeDocument/2006/relationships/hyperlink" Target="../../../../:b:/s/DMO2-PCRM/IQBLs7KC8BeVQ792pJ719ldkAbwinKEBtNyUh6A1WbapSA0?e=QSI3bM" TargetMode="External"/><Relationship Id="rId6" Type="http://schemas.openxmlformats.org/officeDocument/2006/relationships/hyperlink" Target="../../../../:f:/s/DMO2-PCRM/IgAL7U6V4iFqSaJQiDN-keUeAbuSMBrRSxn1jWLBxpCK8AY?e=kCsYMD" TargetMode="External"/><Relationship Id="rId11" Type="http://schemas.openxmlformats.org/officeDocument/2006/relationships/hyperlink" Target="../../../../:f:/s/DMO2-PCRM/IgAz9NoT3vyoTI_E9hvcPwRKAYacBz_sshL96mfugCBxZA0?e=X4VgFx" TargetMode="External"/><Relationship Id="rId24" Type="http://schemas.openxmlformats.org/officeDocument/2006/relationships/hyperlink" Target="../../../../:f:/s/DMO2-PCRM/IgDDcA8odNPaTafE2NIS8N0CAX4pkWOtGucyXwmUz5GxTs8?e=jL0Crg" TargetMode="External"/><Relationship Id="rId32" Type="http://schemas.openxmlformats.org/officeDocument/2006/relationships/hyperlink" Target="https://pgascom-my.sharepoint.com/:b:/g/personal/mekar_fauziah_pgncom_co_id/IQBwxL6wbALQT57bBq90Tk9MAVHVGU7i6EAdQj69RCICQrE?e=AH8gCT" TargetMode="External"/><Relationship Id="rId37" Type="http://schemas.openxmlformats.org/officeDocument/2006/relationships/table" Target="../tables/table6.xml"/><Relationship Id="rId5" Type="http://schemas.openxmlformats.org/officeDocument/2006/relationships/hyperlink" Target="../../../../:f:/s/DMO2-PCRM/IgDZp8simnzWQrdhfRCJkvqwAfo9NRoK3Iokg3aItNiHoDQ?e=kaOZvW" TargetMode="External"/><Relationship Id="rId15" Type="http://schemas.openxmlformats.org/officeDocument/2006/relationships/hyperlink" Target="https://pgascom-my.sharepoint.com/:f:/g/personal/masyita_mustikas_pgncom_co_id/IgClWKoAX0wdS5bwglzlugoUAZbld4BdHJrkCiT_yvct96I?e=J7W8uE" TargetMode="External"/><Relationship Id="rId23" Type="http://schemas.openxmlformats.org/officeDocument/2006/relationships/hyperlink" Target="https://pgascom-my.sharepoint.com/:f:/g/personal/masyita_mustikas_pgncom_co_id/IgCYqjc8BWRwS6Iw4V53446ZAR1ARzXGU-fz1_rOruH-CLY?e=6i8Sit" TargetMode="External"/><Relationship Id="rId28" Type="http://schemas.openxmlformats.org/officeDocument/2006/relationships/hyperlink" Target="https://pgascom-my.sharepoint.com/:b:/g/personal/mekar_fauziah_pgncom_co_id/IQCjnqPJglTgR60wShbZv3XiASs6UjFUZ1T7XPjamOkUrTc?e=qcBcMA" TargetMode="External"/><Relationship Id="rId36" Type="http://schemas.openxmlformats.org/officeDocument/2006/relationships/hyperlink" Target="https://pgascom-my.sharepoint.com/:b:/g/personal/masyita_mustikas_pgncom_co_id/IQDsLNksxFzpRoWdtRQf00XlAdoljDH7aEhWDtxEiKaiuDg?e=wddyuk" TargetMode="External"/><Relationship Id="rId10" Type="http://schemas.openxmlformats.org/officeDocument/2006/relationships/hyperlink" Target="../../../../:f:/s/DMO2-PCRM/IgDpbR0ePFbXSLiFWmPXENg8AXXdnQ3p6TFTj5IuwncSowU?e=75xVTB" TargetMode="External"/><Relationship Id="rId19" Type="http://schemas.openxmlformats.org/officeDocument/2006/relationships/hyperlink" Target="../../../../:b:/s/DMO2-PCRM/IQCI2Oyaws0HRZqv7GKA3RqXARubDiZzzZoD14gBu1YkFTI?e=oCCkGy" TargetMode="External"/><Relationship Id="rId31" Type="http://schemas.openxmlformats.org/officeDocument/2006/relationships/hyperlink" Target="https://pgascom-my.sharepoint.com/:b:/g/personal/mekar_fauziah_pgncom_co_id/IQBTkAFn43aRQpRX9D1N1xeZASuPgntKGI1N0qxwo7pdi1o?e=TJBNSR" TargetMode="External"/><Relationship Id="rId4" Type="http://schemas.openxmlformats.org/officeDocument/2006/relationships/hyperlink" Target="../../../../:f:/s/DMO2-PCRM/IgBj9NvB0UK9R45v5-KwiDj8AYugZCK9_DMj7QE1RFbUOyU?e=gYfNHB" TargetMode="External"/><Relationship Id="rId9" Type="http://schemas.openxmlformats.org/officeDocument/2006/relationships/hyperlink" Target="../../../../:f:/s/DMO2-PCRM/IgDZp8simnzWQrdhfRCJkvqwAfo9NRoK3Iokg3aItNiHoDQ?e=kaOZvW" TargetMode="External"/><Relationship Id="rId14" Type="http://schemas.openxmlformats.org/officeDocument/2006/relationships/hyperlink" Target="../../../../:f:/s/DMO2-PCRM/IgAtXwuElMa_S4ltRuIZ2mJTAeEOdK2ZKM055kdpTEpNhk8?e=KE5ciu" TargetMode="External"/><Relationship Id="rId22" Type="http://schemas.openxmlformats.org/officeDocument/2006/relationships/hyperlink" Target="../../../../:b:/s/DMO2-PCRM/IQCI2Oyaws0HRZqv7GKA3RqXARubDiZzzZoD14gBu1YkFTI?e=oCCkGy" TargetMode="External"/><Relationship Id="rId27" Type="http://schemas.openxmlformats.org/officeDocument/2006/relationships/hyperlink" Target="https://pgascom-my.sharepoint.com/:b:/g/personal/mekar_fauziah_pgncom_co_id/IQBBf-wG2m5TSLxzfraS2af7AYtiOOJuphvX6D-A7QMrY9s?e=LQUZlB" TargetMode="External"/><Relationship Id="rId30" Type="http://schemas.openxmlformats.org/officeDocument/2006/relationships/hyperlink" Target="https://pgascom-my.sharepoint.com/:b:/g/personal/mekar_fauziah_pgncom_co_id/IQDEohfspTNLQ4xYRgFUHgE6AR76uStep8a2TGFZM7DcfjU?e=dOiYCy" TargetMode="External"/><Relationship Id="rId35" Type="http://schemas.openxmlformats.org/officeDocument/2006/relationships/hyperlink" Target="https://pgascom-my.sharepoint.com/:b:/g/personal/mekar_fauziah_pgncom_co_id/IQD4X-oKwuaVTLzpyBU9kuJRAagShqeCydFDJwJ-g9v6EeU?e=QD7rzW" TargetMode="External"/><Relationship Id="rId8" Type="http://schemas.openxmlformats.org/officeDocument/2006/relationships/hyperlink" Target="../../../../:f:/s/DMO2-PCRM/IgAz9NoT3vyoTI_E9hvcPwRKAYacBz_sshL96mfugCBxZA0?e=X4VgFx" TargetMode="External"/><Relationship Id="rId3" Type="http://schemas.openxmlformats.org/officeDocument/2006/relationships/hyperlink" Target="../../../../:b:/s/DMO2-PCRM/IQD-lgHCneWdQq-t1RBhoyXYAaOtXWqCnV8lfw_tTunloBI?e=tMB20u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126B-EA8E-4FFA-9A69-79F9CDD1F8A9}">
  <dimension ref="A2:F1048576"/>
  <sheetViews>
    <sheetView topLeftCell="A10" zoomScaleNormal="100" workbookViewId="0">
      <selection activeCell="B64" sqref="B64"/>
    </sheetView>
  </sheetViews>
  <sheetFormatPr defaultColWidth="8.69921875" defaultRowHeight="13.8"/>
  <cols>
    <col min="1" max="1" width="9.69921875" bestFit="1" customWidth="1"/>
    <col min="2" max="2" width="36.69921875" bestFit="1" customWidth="1"/>
    <col min="3" max="3" width="18" bestFit="1" customWidth="1"/>
    <col min="4" max="4" width="142.09765625" bestFit="1" customWidth="1"/>
    <col min="5" max="5" width="13.296875" bestFit="1" customWidth="1"/>
    <col min="6" max="6" width="12.09765625" bestFit="1" customWidth="1"/>
  </cols>
  <sheetData>
    <row r="2" spans="1:6">
      <c r="A2" s="44" t="s">
        <v>0</v>
      </c>
      <c r="B2" s="44" t="s">
        <v>1</v>
      </c>
      <c r="C2" s="44" t="s">
        <v>2</v>
      </c>
      <c r="D2" s="44" t="s">
        <v>3</v>
      </c>
      <c r="E2" s="44" t="s">
        <v>4</v>
      </c>
      <c r="F2" s="44" t="s">
        <v>5</v>
      </c>
    </row>
    <row r="3" spans="1:6">
      <c r="A3">
        <v>1</v>
      </c>
      <c r="B3" t="s">
        <v>6</v>
      </c>
      <c r="C3" t="s">
        <v>7</v>
      </c>
      <c r="D3" t="s">
        <v>8</v>
      </c>
      <c r="E3" t="s">
        <v>9</v>
      </c>
    </row>
    <row r="4" spans="1:6">
      <c r="A4">
        <v>2</v>
      </c>
      <c r="B4" t="s">
        <v>10</v>
      </c>
      <c r="C4" t="s">
        <v>7</v>
      </c>
      <c r="D4" t="s">
        <v>11</v>
      </c>
      <c r="E4" t="s">
        <v>12</v>
      </c>
    </row>
    <row r="5" spans="1:6">
      <c r="A5">
        <v>3</v>
      </c>
      <c r="B5" t="s">
        <v>13</v>
      </c>
      <c r="C5" t="s">
        <v>7</v>
      </c>
      <c r="D5" t="s">
        <v>14</v>
      </c>
      <c r="E5" t="s">
        <v>15</v>
      </c>
    </row>
    <row r="6" spans="1:6">
      <c r="A6">
        <v>4</v>
      </c>
      <c r="B6" t="s">
        <v>16</v>
      </c>
      <c r="C6" t="s">
        <v>7</v>
      </c>
      <c r="D6" t="s">
        <v>17</v>
      </c>
      <c r="E6" t="s">
        <v>18</v>
      </c>
      <c r="F6" t="s">
        <v>19</v>
      </c>
    </row>
    <row r="7" spans="1:6">
      <c r="A7">
        <v>5</v>
      </c>
      <c r="B7" t="s">
        <v>20</v>
      </c>
      <c r="C7" t="s">
        <v>7</v>
      </c>
      <c r="D7" t="s">
        <v>21</v>
      </c>
      <c r="E7" t="s">
        <v>22</v>
      </c>
    </row>
    <row r="8" spans="1:6">
      <c r="A8">
        <v>6</v>
      </c>
      <c r="B8" t="s">
        <v>6</v>
      </c>
      <c r="C8" t="s">
        <v>7</v>
      </c>
      <c r="D8" t="s">
        <v>23</v>
      </c>
      <c r="E8" t="s">
        <v>24</v>
      </c>
    </row>
    <row r="9" spans="1:6">
      <c r="A9">
        <v>7</v>
      </c>
      <c r="B9" t="s">
        <v>25</v>
      </c>
      <c r="C9" t="s">
        <v>7</v>
      </c>
      <c r="D9" t="s">
        <v>26</v>
      </c>
      <c r="E9" t="s">
        <v>27</v>
      </c>
    </row>
    <row r="10" spans="1:6">
      <c r="A10">
        <v>8</v>
      </c>
      <c r="B10" t="s">
        <v>13</v>
      </c>
      <c r="C10" t="s">
        <v>7</v>
      </c>
      <c r="D10" t="s">
        <v>28</v>
      </c>
      <c r="E10" t="s">
        <v>29</v>
      </c>
    </row>
    <row r="11" spans="1:6">
      <c r="A11">
        <v>9</v>
      </c>
      <c r="B11" t="s">
        <v>16</v>
      </c>
      <c r="C11" t="s">
        <v>7</v>
      </c>
      <c r="D11" t="s">
        <v>30</v>
      </c>
      <c r="E11" t="s">
        <v>31</v>
      </c>
      <c r="F11" t="s">
        <v>32</v>
      </c>
    </row>
    <row r="12" spans="1:6">
      <c r="A12">
        <v>10</v>
      </c>
      <c r="B12" t="s">
        <v>33</v>
      </c>
      <c r="C12" t="s">
        <v>7</v>
      </c>
      <c r="D12" t="s">
        <v>34</v>
      </c>
      <c r="E12" t="s">
        <v>35</v>
      </c>
    </row>
    <row r="13" spans="1:6">
      <c r="A13">
        <v>11</v>
      </c>
      <c r="B13" t="s">
        <v>16</v>
      </c>
      <c r="C13" t="s">
        <v>7</v>
      </c>
      <c r="D13" t="s">
        <v>36</v>
      </c>
      <c r="E13" t="s">
        <v>37</v>
      </c>
      <c r="F13" t="s">
        <v>38</v>
      </c>
    </row>
    <row r="14" spans="1:6">
      <c r="A14">
        <v>12</v>
      </c>
      <c r="B14" t="s">
        <v>16</v>
      </c>
      <c r="C14" t="s">
        <v>7</v>
      </c>
      <c r="D14" t="s">
        <v>39</v>
      </c>
      <c r="E14" t="s">
        <v>40</v>
      </c>
      <c r="F14" t="s">
        <v>38</v>
      </c>
    </row>
    <row r="15" spans="1:6">
      <c r="A15">
        <v>13</v>
      </c>
      <c r="B15" t="s">
        <v>16</v>
      </c>
      <c r="C15" t="s">
        <v>7</v>
      </c>
      <c r="D15" t="s">
        <v>41</v>
      </c>
      <c r="E15" t="s">
        <v>42</v>
      </c>
      <c r="F15" t="s">
        <v>43</v>
      </c>
    </row>
    <row r="16" spans="1:6">
      <c r="A16">
        <v>14</v>
      </c>
      <c r="B16" t="s">
        <v>16</v>
      </c>
      <c r="C16" t="s">
        <v>7</v>
      </c>
      <c r="D16" t="s">
        <v>44</v>
      </c>
      <c r="E16" t="s">
        <v>45</v>
      </c>
      <c r="F16" t="s">
        <v>43</v>
      </c>
    </row>
    <row r="17" spans="1:6">
      <c r="A17">
        <v>15</v>
      </c>
      <c r="B17" t="s">
        <v>16</v>
      </c>
      <c r="C17" t="s">
        <v>7</v>
      </c>
      <c r="D17" t="s">
        <v>46</v>
      </c>
      <c r="E17" t="s">
        <v>47</v>
      </c>
      <c r="F17" t="s">
        <v>19</v>
      </c>
    </row>
    <row r="18" spans="1:6">
      <c r="A18">
        <v>16</v>
      </c>
      <c r="B18" t="s">
        <v>48</v>
      </c>
      <c r="C18" t="s">
        <v>7</v>
      </c>
      <c r="D18" t="s">
        <v>49</v>
      </c>
      <c r="E18" t="s">
        <v>50</v>
      </c>
    </row>
    <row r="19" spans="1:6">
      <c r="A19">
        <v>17</v>
      </c>
      <c r="B19" t="s">
        <v>16</v>
      </c>
      <c r="C19" t="s">
        <v>7</v>
      </c>
      <c r="D19" t="s">
        <v>51</v>
      </c>
      <c r="E19" t="s">
        <v>52</v>
      </c>
    </row>
    <row r="20" spans="1:6">
      <c r="A20">
        <v>18</v>
      </c>
      <c r="B20" t="s">
        <v>16</v>
      </c>
      <c r="C20" t="s">
        <v>7</v>
      </c>
      <c r="D20" t="s">
        <v>53</v>
      </c>
      <c r="E20" t="s">
        <v>54</v>
      </c>
    </row>
    <row r="21" spans="1:6">
      <c r="A21">
        <v>19</v>
      </c>
      <c r="B21" t="s">
        <v>55</v>
      </c>
      <c r="C21" t="s">
        <v>7</v>
      </c>
      <c r="D21" t="s">
        <v>56</v>
      </c>
      <c r="E21" t="s">
        <v>57</v>
      </c>
    </row>
    <row r="22" spans="1:6">
      <c r="A22">
        <v>20</v>
      </c>
      <c r="B22" t="s">
        <v>58</v>
      </c>
      <c r="C22" t="s">
        <v>7</v>
      </c>
      <c r="D22" t="s">
        <v>59</v>
      </c>
      <c r="E22" t="s">
        <v>60</v>
      </c>
      <c r="F22" t="s">
        <v>19</v>
      </c>
    </row>
    <row r="23" spans="1:6">
      <c r="A23">
        <v>21</v>
      </c>
      <c r="B23" t="s">
        <v>13</v>
      </c>
      <c r="C23" t="s">
        <v>7</v>
      </c>
      <c r="D23" t="s">
        <v>61</v>
      </c>
      <c r="E23" t="s">
        <v>62</v>
      </c>
    </row>
    <row r="24" spans="1:6">
      <c r="A24">
        <v>22</v>
      </c>
      <c r="B24" t="s">
        <v>16</v>
      </c>
      <c r="C24" t="s">
        <v>7</v>
      </c>
      <c r="D24" t="s">
        <v>63</v>
      </c>
      <c r="E24" t="s">
        <v>64</v>
      </c>
      <c r="F24" t="s">
        <v>65</v>
      </c>
    </row>
    <row r="25" spans="1:6">
      <c r="A25">
        <v>23</v>
      </c>
      <c r="B25" t="s">
        <v>66</v>
      </c>
      <c r="C25" t="s">
        <v>7</v>
      </c>
      <c r="D25" t="s">
        <v>67</v>
      </c>
      <c r="E25" t="s">
        <v>68</v>
      </c>
    </row>
    <row r="26" spans="1:6">
      <c r="A26">
        <v>24</v>
      </c>
      <c r="B26" t="s">
        <v>69</v>
      </c>
      <c r="C26" t="s">
        <v>7</v>
      </c>
      <c r="D26" t="s">
        <v>70</v>
      </c>
      <c r="E26" t="s">
        <v>71</v>
      </c>
    </row>
    <row r="27" spans="1:6">
      <c r="A27">
        <v>25</v>
      </c>
      <c r="B27" t="s">
        <v>72</v>
      </c>
      <c r="C27" t="s">
        <v>7</v>
      </c>
      <c r="D27" t="s">
        <v>73</v>
      </c>
      <c r="E27" t="s">
        <v>74</v>
      </c>
    </row>
    <row r="28" spans="1:6">
      <c r="A28">
        <v>26</v>
      </c>
      <c r="B28" t="s">
        <v>75</v>
      </c>
      <c r="C28" t="s">
        <v>7</v>
      </c>
      <c r="D28" t="s">
        <v>76</v>
      </c>
      <c r="E28" t="s">
        <v>77</v>
      </c>
    </row>
    <row r="29" spans="1:6">
      <c r="A29">
        <v>27</v>
      </c>
      <c r="C29" t="s">
        <v>7</v>
      </c>
      <c r="D29" t="s">
        <v>78</v>
      </c>
      <c r="E29" t="s">
        <v>79</v>
      </c>
    </row>
    <row r="30" spans="1:6">
      <c r="A30">
        <v>28</v>
      </c>
      <c r="C30" t="s">
        <v>7</v>
      </c>
      <c r="D30" t="s">
        <v>80</v>
      </c>
      <c r="E30" t="s">
        <v>81</v>
      </c>
    </row>
    <row r="31" spans="1:6">
      <c r="A31">
        <v>29</v>
      </c>
      <c r="B31" t="s">
        <v>48</v>
      </c>
      <c r="C31" t="s">
        <v>7</v>
      </c>
      <c r="D31" t="s">
        <v>82</v>
      </c>
      <c r="E31" t="s">
        <v>83</v>
      </c>
    </row>
    <row r="32" spans="1:6">
      <c r="A32">
        <v>30</v>
      </c>
      <c r="B32" t="s">
        <v>48</v>
      </c>
      <c r="C32" t="s">
        <v>7</v>
      </c>
      <c r="D32" t="s">
        <v>84</v>
      </c>
      <c r="E32" t="s">
        <v>85</v>
      </c>
    </row>
    <row r="33" spans="1:6">
      <c r="A33" s="63"/>
      <c r="B33" s="63"/>
      <c r="C33" s="63"/>
      <c r="D33" s="63"/>
      <c r="E33" s="63"/>
      <c r="F33" s="63"/>
    </row>
    <row r="34" spans="1:6">
      <c r="A34">
        <v>1</v>
      </c>
      <c r="B34" t="s">
        <v>16</v>
      </c>
      <c r="C34" t="s">
        <v>86</v>
      </c>
      <c r="D34" t="s">
        <v>87</v>
      </c>
      <c r="E34" t="s">
        <v>88</v>
      </c>
      <c r="F34" t="s">
        <v>38</v>
      </c>
    </row>
    <row r="35" spans="1:6">
      <c r="A35">
        <v>2</v>
      </c>
      <c r="B35" t="s">
        <v>16</v>
      </c>
      <c r="C35" t="s">
        <v>86</v>
      </c>
      <c r="D35" t="s">
        <v>89</v>
      </c>
      <c r="E35" t="s">
        <v>90</v>
      </c>
      <c r="F35" t="s">
        <v>38</v>
      </c>
    </row>
    <row r="36" spans="1:6">
      <c r="A36">
        <v>3</v>
      </c>
      <c r="B36" t="s">
        <v>16</v>
      </c>
      <c r="C36" t="s">
        <v>86</v>
      </c>
      <c r="D36" t="s">
        <v>91</v>
      </c>
      <c r="E36" t="s">
        <v>92</v>
      </c>
      <c r="F36" t="s">
        <v>19</v>
      </c>
    </row>
    <row r="37" spans="1:6">
      <c r="A37">
        <v>4</v>
      </c>
      <c r="B37" t="s">
        <v>16</v>
      </c>
      <c r="C37" t="s">
        <v>86</v>
      </c>
      <c r="D37" t="s">
        <v>93</v>
      </c>
      <c r="E37" t="s">
        <v>94</v>
      </c>
      <c r="F37" t="s">
        <v>19</v>
      </c>
    </row>
    <row r="38" spans="1:6">
      <c r="A38">
        <v>5</v>
      </c>
      <c r="B38" t="s">
        <v>95</v>
      </c>
      <c r="C38" t="s">
        <v>86</v>
      </c>
      <c r="D38" t="s">
        <v>96</v>
      </c>
      <c r="E38" t="s">
        <v>97</v>
      </c>
    </row>
    <row r="39" spans="1:6">
      <c r="A39">
        <v>6</v>
      </c>
      <c r="B39" t="s">
        <v>95</v>
      </c>
      <c r="C39" t="s">
        <v>86</v>
      </c>
      <c r="D39" t="s">
        <v>98</v>
      </c>
      <c r="E39" t="s">
        <v>99</v>
      </c>
    </row>
    <row r="40" spans="1:6">
      <c r="A40">
        <v>7</v>
      </c>
      <c r="B40" t="s">
        <v>95</v>
      </c>
      <c r="C40" t="s">
        <v>86</v>
      </c>
      <c r="D40" t="s">
        <v>100</v>
      </c>
      <c r="E40" t="s">
        <v>101</v>
      </c>
    </row>
    <row r="41" spans="1:6">
      <c r="A41">
        <v>8</v>
      </c>
      <c r="B41" t="s">
        <v>95</v>
      </c>
      <c r="C41" t="s">
        <v>86</v>
      </c>
      <c r="D41" t="s">
        <v>102</v>
      </c>
      <c r="E41" t="s">
        <v>103</v>
      </c>
    </row>
    <row r="42" spans="1:6">
      <c r="A42">
        <v>9</v>
      </c>
      <c r="B42" t="s">
        <v>95</v>
      </c>
      <c r="C42" t="s">
        <v>86</v>
      </c>
      <c r="D42" t="s">
        <v>104</v>
      </c>
      <c r="E42" t="s">
        <v>105</v>
      </c>
    </row>
    <row r="43" spans="1:6">
      <c r="A43">
        <v>10</v>
      </c>
      <c r="B43" t="s">
        <v>95</v>
      </c>
      <c r="C43" t="s">
        <v>86</v>
      </c>
      <c r="D43" t="s">
        <v>106</v>
      </c>
      <c r="E43" t="s">
        <v>107</v>
      </c>
    </row>
    <row r="44" spans="1:6">
      <c r="A44">
        <v>11</v>
      </c>
      <c r="B44" t="s">
        <v>95</v>
      </c>
      <c r="C44" t="s">
        <v>86</v>
      </c>
      <c r="D44" t="s">
        <v>108</v>
      </c>
      <c r="E44" t="s">
        <v>109</v>
      </c>
    </row>
    <row r="45" spans="1:6">
      <c r="A45">
        <v>12</v>
      </c>
      <c r="B45" t="s">
        <v>110</v>
      </c>
      <c r="C45" t="s">
        <v>86</v>
      </c>
      <c r="D45" t="s">
        <v>111</v>
      </c>
      <c r="E45" t="s">
        <v>112</v>
      </c>
    </row>
    <row r="46" spans="1:6">
      <c r="A46">
        <v>13</v>
      </c>
      <c r="B46" t="s">
        <v>113</v>
      </c>
      <c r="C46" t="s">
        <v>86</v>
      </c>
      <c r="D46" t="s">
        <v>114</v>
      </c>
      <c r="E46" t="s">
        <v>115</v>
      </c>
    </row>
    <row r="47" spans="1:6">
      <c r="A47">
        <v>14</v>
      </c>
      <c r="B47" t="s">
        <v>116</v>
      </c>
      <c r="C47" t="s">
        <v>86</v>
      </c>
      <c r="D47" t="s">
        <v>117</v>
      </c>
      <c r="E47" t="s">
        <v>118</v>
      </c>
    </row>
    <row r="48" spans="1:6">
      <c r="A48">
        <v>15</v>
      </c>
      <c r="B48" t="s">
        <v>6</v>
      </c>
      <c r="C48" t="s">
        <v>86</v>
      </c>
      <c r="D48" t="s">
        <v>119</v>
      </c>
      <c r="E48" t="s">
        <v>120</v>
      </c>
    </row>
    <row r="49" spans="1:5">
      <c r="A49">
        <v>16</v>
      </c>
      <c r="B49" t="s">
        <v>6</v>
      </c>
      <c r="C49" t="s">
        <v>86</v>
      </c>
      <c r="D49" t="s">
        <v>11</v>
      </c>
      <c r="E49" t="s">
        <v>121</v>
      </c>
    </row>
    <row r="50" spans="1:5">
      <c r="A50">
        <v>17</v>
      </c>
      <c r="B50" t="s">
        <v>122</v>
      </c>
      <c r="C50" t="s">
        <v>86</v>
      </c>
      <c r="D50" t="s">
        <v>123</v>
      </c>
      <c r="E50" t="s">
        <v>124</v>
      </c>
    </row>
    <row r="51" spans="1:5">
      <c r="A51">
        <v>18</v>
      </c>
      <c r="B51" t="s">
        <v>122</v>
      </c>
      <c r="C51" t="s">
        <v>86</v>
      </c>
      <c r="D51" t="s">
        <v>125</v>
      </c>
      <c r="E51" t="s">
        <v>126</v>
      </c>
    </row>
    <row r="52" spans="1:5">
      <c r="A52">
        <v>19</v>
      </c>
      <c r="B52" t="s">
        <v>122</v>
      </c>
      <c r="C52" t="s">
        <v>86</v>
      </c>
      <c r="D52" t="s">
        <v>127</v>
      </c>
      <c r="E52" t="s">
        <v>128</v>
      </c>
    </row>
    <row r="53" spans="1:5">
      <c r="A53">
        <v>20</v>
      </c>
      <c r="B53" t="s">
        <v>55</v>
      </c>
      <c r="C53" t="s">
        <v>86</v>
      </c>
      <c r="D53" t="s">
        <v>129</v>
      </c>
      <c r="E53" t="s">
        <v>130</v>
      </c>
    </row>
    <row r="54" spans="1:5">
      <c r="A54">
        <v>21</v>
      </c>
      <c r="B54" t="s">
        <v>55</v>
      </c>
      <c r="C54" t="s">
        <v>86</v>
      </c>
      <c r="D54" t="s">
        <v>131</v>
      </c>
      <c r="E54" t="s">
        <v>132</v>
      </c>
    </row>
    <row r="55" spans="1:5">
      <c r="A55">
        <v>22</v>
      </c>
      <c r="B55" t="s">
        <v>133</v>
      </c>
      <c r="C55" t="s">
        <v>86</v>
      </c>
      <c r="D55" t="s">
        <v>134</v>
      </c>
      <c r="E55" t="s">
        <v>135</v>
      </c>
    </row>
    <row r="56" spans="1:5">
      <c r="A56">
        <v>23</v>
      </c>
      <c r="B56" t="s">
        <v>133</v>
      </c>
      <c r="C56" t="s">
        <v>86</v>
      </c>
      <c r="D56" t="s">
        <v>136</v>
      </c>
      <c r="E56" t="s">
        <v>137</v>
      </c>
    </row>
    <row r="57" spans="1:5">
      <c r="A57">
        <v>24</v>
      </c>
      <c r="B57" t="s">
        <v>133</v>
      </c>
      <c r="C57" t="s">
        <v>86</v>
      </c>
      <c r="D57" t="s">
        <v>138</v>
      </c>
      <c r="E57" t="s">
        <v>139</v>
      </c>
    </row>
    <row r="58" spans="1:5">
      <c r="A58">
        <v>25</v>
      </c>
      <c r="B58" t="s">
        <v>133</v>
      </c>
      <c r="C58" t="s">
        <v>86</v>
      </c>
      <c r="D58" t="s">
        <v>140</v>
      </c>
      <c r="E58" t="s">
        <v>141</v>
      </c>
    </row>
    <row r="59" spans="1:5">
      <c r="A59">
        <v>26</v>
      </c>
      <c r="B59" t="s">
        <v>133</v>
      </c>
      <c r="C59" t="s">
        <v>86</v>
      </c>
      <c r="D59" t="s">
        <v>142</v>
      </c>
      <c r="E59" t="s">
        <v>143</v>
      </c>
    </row>
    <row r="60" spans="1:5">
      <c r="A60">
        <v>27</v>
      </c>
      <c r="B60" t="s">
        <v>133</v>
      </c>
      <c r="C60" t="s">
        <v>86</v>
      </c>
      <c r="D60" t="s">
        <v>144</v>
      </c>
      <c r="E60" t="s">
        <v>145</v>
      </c>
    </row>
    <row r="61" spans="1:5">
      <c r="A61">
        <v>28</v>
      </c>
      <c r="B61" t="s">
        <v>133</v>
      </c>
      <c r="C61" t="s">
        <v>86</v>
      </c>
      <c r="D61" t="s">
        <v>146</v>
      </c>
      <c r="E61" t="s">
        <v>147</v>
      </c>
    </row>
    <row r="62" spans="1:5">
      <c r="A62">
        <v>29</v>
      </c>
      <c r="B62" t="s">
        <v>133</v>
      </c>
      <c r="C62" t="s">
        <v>86</v>
      </c>
      <c r="D62" t="s">
        <v>148</v>
      </c>
      <c r="E62" t="s">
        <v>149</v>
      </c>
    </row>
    <row r="63" spans="1:5">
      <c r="A63">
        <v>30</v>
      </c>
      <c r="B63" t="s">
        <v>150</v>
      </c>
      <c r="C63" t="s">
        <v>86</v>
      </c>
      <c r="D63" t="s">
        <v>151</v>
      </c>
      <c r="E63" t="s">
        <v>152</v>
      </c>
    </row>
    <row r="64" spans="1:5">
      <c r="A64">
        <v>31</v>
      </c>
      <c r="B64" t="s">
        <v>13</v>
      </c>
      <c r="C64" t="s">
        <v>86</v>
      </c>
      <c r="D64" t="s">
        <v>153</v>
      </c>
      <c r="E64" t="s">
        <v>154</v>
      </c>
    </row>
    <row r="65" spans="1:6">
      <c r="A65">
        <v>32</v>
      </c>
      <c r="B65" t="s">
        <v>155</v>
      </c>
      <c r="C65" t="s">
        <v>86</v>
      </c>
      <c r="D65" t="s">
        <v>156</v>
      </c>
      <c r="E65" t="s">
        <v>157</v>
      </c>
    </row>
    <row r="66" spans="1:6">
      <c r="A66">
        <v>33</v>
      </c>
      <c r="B66" t="s">
        <v>158</v>
      </c>
      <c r="C66" t="s">
        <v>86</v>
      </c>
      <c r="D66" t="s">
        <v>159</v>
      </c>
      <c r="E66" t="s">
        <v>160</v>
      </c>
    </row>
    <row r="67" spans="1:6">
      <c r="A67">
        <v>34</v>
      </c>
      <c r="B67" t="s">
        <v>13</v>
      </c>
      <c r="C67" t="s">
        <v>86</v>
      </c>
      <c r="D67" t="s">
        <v>161</v>
      </c>
      <c r="E67" t="s">
        <v>162</v>
      </c>
    </row>
    <row r="68" spans="1:6">
      <c r="A68">
        <v>35</v>
      </c>
      <c r="B68" t="s">
        <v>13</v>
      </c>
      <c r="C68" t="s">
        <v>86</v>
      </c>
      <c r="D68" t="s">
        <v>163</v>
      </c>
      <c r="E68" t="s">
        <v>164</v>
      </c>
    </row>
    <row r="69" spans="1:6">
      <c r="A69">
        <v>36</v>
      </c>
      <c r="B69" t="s">
        <v>6</v>
      </c>
      <c r="C69" t="s">
        <v>86</v>
      </c>
      <c r="D69" t="s">
        <v>165</v>
      </c>
      <c r="E69" t="s">
        <v>166</v>
      </c>
    </row>
    <row r="70" spans="1:6">
      <c r="A70">
        <v>37</v>
      </c>
      <c r="B70" t="s">
        <v>6</v>
      </c>
      <c r="C70" t="s">
        <v>86</v>
      </c>
      <c r="D70" t="s">
        <v>167</v>
      </c>
      <c r="E70" t="s">
        <v>168</v>
      </c>
    </row>
    <row r="71" spans="1:6">
      <c r="A71">
        <v>38</v>
      </c>
      <c r="B71" t="s">
        <v>16</v>
      </c>
      <c r="C71" t="s">
        <v>86</v>
      </c>
      <c r="D71" t="s">
        <v>169</v>
      </c>
      <c r="E71" t="s">
        <v>170</v>
      </c>
      <c r="F71" t="s">
        <v>171</v>
      </c>
    </row>
    <row r="72" spans="1:6">
      <c r="A72">
        <v>39</v>
      </c>
      <c r="B72" t="s">
        <v>16</v>
      </c>
      <c r="C72" t="s">
        <v>86</v>
      </c>
      <c r="D72" t="s">
        <v>172</v>
      </c>
      <c r="E72" t="s">
        <v>173</v>
      </c>
      <c r="F72" t="s">
        <v>32</v>
      </c>
    </row>
    <row r="73" spans="1:6">
      <c r="A73">
        <v>40</v>
      </c>
      <c r="B73" t="s">
        <v>13</v>
      </c>
      <c r="C73" t="s">
        <v>86</v>
      </c>
      <c r="D73" t="s">
        <v>174</v>
      </c>
      <c r="E73" t="s">
        <v>175</v>
      </c>
    </row>
    <row r="74" spans="1:6">
      <c r="A74">
        <v>41</v>
      </c>
      <c r="B74" t="s">
        <v>176</v>
      </c>
      <c r="C74" t="s">
        <v>86</v>
      </c>
      <c r="D74" t="s">
        <v>177</v>
      </c>
      <c r="E74" t="s">
        <v>178</v>
      </c>
    </row>
    <row r="75" spans="1:6">
      <c r="A75">
        <v>42</v>
      </c>
      <c r="B75" t="s">
        <v>13</v>
      </c>
      <c r="C75" t="s">
        <v>86</v>
      </c>
      <c r="D75" t="s">
        <v>179</v>
      </c>
      <c r="E75" t="s">
        <v>180</v>
      </c>
    </row>
    <row r="76" spans="1:6">
      <c r="A76">
        <v>43</v>
      </c>
      <c r="B76" t="s">
        <v>13</v>
      </c>
      <c r="C76" t="s">
        <v>86</v>
      </c>
      <c r="D76" t="s">
        <v>181</v>
      </c>
      <c r="E76" t="s">
        <v>182</v>
      </c>
    </row>
    <row r="77" spans="1:6">
      <c r="A77">
        <v>44</v>
      </c>
      <c r="B77" t="s">
        <v>13</v>
      </c>
      <c r="C77" t="s">
        <v>86</v>
      </c>
      <c r="D77" t="s">
        <v>183</v>
      </c>
      <c r="E77" t="s">
        <v>184</v>
      </c>
    </row>
    <row r="78" spans="1:6">
      <c r="A78">
        <v>45</v>
      </c>
      <c r="B78" t="s">
        <v>16</v>
      </c>
      <c r="C78" t="s">
        <v>86</v>
      </c>
      <c r="D78" t="s">
        <v>185</v>
      </c>
      <c r="E78" t="s">
        <v>186</v>
      </c>
      <c r="F78" t="s">
        <v>32</v>
      </c>
    </row>
    <row r="79" spans="1:6">
      <c r="A79">
        <v>46</v>
      </c>
      <c r="B79" t="s">
        <v>16</v>
      </c>
      <c r="C79" t="s">
        <v>86</v>
      </c>
      <c r="D79" t="s">
        <v>187</v>
      </c>
      <c r="E79" t="s">
        <v>188</v>
      </c>
      <c r="F79" t="s">
        <v>32</v>
      </c>
    </row>
    <row r="80" spans="1:6">
      <c r="A80">
        <v>47</v>
      </c>
      <c r="B80" t="s">
        <v>16</v>
      </c>
      <c r="C80" t="s">
        <v>86</v>
      </c>
      <c r="D80" t="s">
        <v>189</v>
      </c>
      <c r="E80" t="s">
        <v>190</v>
      </c>
      <c r="F80" t="s">
        <v>32</v>
      </c>
    </row>
    <row r="81" spans="1:6">
      <c r="A81">
        <v>48</v>
      </c>
      <c r="B81" t="s">
        <v>16</v>
      </c>
      <c r="C81" t="s">
        <v>86</v>
      </c>
      <c r="D81" t="s">
        <v>191</v>
      </c>
      <c r="E81" t="s">
        <v>192</v>
      </c>
      <c r="F81" t="s">
        <v>32</v>
      </c>
    </row>
    <row r="82" spans="1:6">
      <c r="A82">
        <v>49</v>
      </c>
      <c r="B82" t="s">
        <v>16</v>
      </c>
      <c r="C82" t="s">
        <v>86</v>
      </c>
      <c r="D82" t="s">
        <v>193</v>
      </c>
      <c r="E82" t="s">
        <v>194</v>
      </c>
      <c r="F82" t="s">
        <v>32</v>
      </c>
    </row>
    <row r="83" spans="1:6">
      <c r="A83">
        <v>50</v>
      </c>
      <c r="B83" t="s">
        <v>16</v>
      </c>
      <c r="C83" t="s">
        <v>86</v>
      </c>
      <c r="D83" t="s">
        <v>195</v>
      </c>
      <c r="E83" t="s">
        <v>196</v>
      </c>
      <c r="F83" t="s">
        <v>32</v>
      </c>
    </row>
    <row r="84" spans="1:6">
      <c r="A84">
        <v>51</v>
      </c>
      <c r="B84" t="s">
        <v>16</v>
      </c>
      <c r="C84" t="s">
        <v>86</v>
      </c>
      <c r="D84" t="s">
        <v>197</v>
      </c>
      <c r="E84" t="s">
        <v>198</v>
      </c>
      <c r="F84" t="s">
        <v>32</v>
      </c>
    </row>
    <row r="85" spans="1:6">
      <c r="A85">
        <v>52</v>
      </c>
      <c r="B85" t="s">
        <v>16</v>
      </c>
      <c r="C85" t="s">
        <v>86</v>
      </c>
      <c r="D85" t="s">
        <v>199</v>
      </c>
      <c r="E85" t="s">
        <v>200</v>
      </c>
      <c r="F85" t="s">
        <v>32</v>
      </c>
    </row>
    <row r="86" spans="1:6">
      <c r="A86">
        <v>53</v>
      </c>
      <c r="B86" t="s">
        <v>16</v>
      </c>
      <c r="C86" t="s">
        <v>86</v>
      </c>
      <c r="D86" t="s">
        <v>201</v>
      </c>
      <c r="E86" t="s">
        <v>202</v>
      </c>
      <c r="F86" t="s">
        <v>32</v>
      </c>
    </row>
    <row r="87" spans="1:6">
      <c r="A87">
        <v>54</v>
      </c>
      <c r="B87" t="s">
        <v>203</v>
      </c>
      <c r="C87" t="s">
        <v>86</v>
      </c>
      <c r="D87" t="s">
        <v>204</v>
      </c>
      <c r="E87" t="s">
        <v>205</v>
      </c>
    </row>
    <row r="88" spans="1:6">
      <c r="A88">
        <v>55</v>
      </c>
      <c r="B88" t="s">
        <v>203</v>
      </c>
      <c r="C88" t="s">
        <v>86</v>
      </c>
      <c r="D88" t="s">
        <v>206</v>
      </c>
      <c r="E88" t="s">
        <v>207</v>
      </c>
    </row>
    <row r="89" spans="1:6">
      <c r="A89">
        <v>56</v>
      </c>
      <c r="B89" t="s">
        <v>203</v>
      </c>
      <c r="C89" t="s">
        <v>86</v>
      </c>
      <c r="D89" t="s">
        <v>208</v>
      </c>
      <c r="E89" t="s">
        <v>209</v>
      </c>
    </row>
    <row r="90" spans="1:6">
      <c r="A90">
        <v>57</v>
      </c>
      <c r="B90" t="s">
        <v>210</v>
      </c>
      <c r="C90" t="s">
        <v>86</v>
      </c>
      <c r="D90" t="s">
        <v>211</v>
      </c>
      <c r="E90" t="s">
        <v>212</v>
      </c>
    </row>
    <row r="91" spans="1:6">
      <c r="A91">
        <v>58</v>
      </c>
      <c r="B91" t="s">
        <v>16</v>
      </c>
      <c r="C91" t="s">
        <v>86</v>
      </c>
      <c r="D91" t="s">
        <v>213</v>
      </c>
      <c r="E91" t="s">
        <v>214</v>
      </c>
      <c r="F91" t="s">
        <v>215</v>
      </c>
    </row>
    <row r="92" spans="1:6">
      <c r="A92">
        <v>59</v>
      </c>
      <c r="B92" t="s">
        <v>216</v>
      </c>
      <c r="C92" t="s">
        <v>86</v>
      </c>
      <c r="D92" t="s">
        <v>217</v>
      </c>
      <c r="E92" t="s">
        <v>218</v>
      </c>
    </row>
    <row r="93" spans="1:6">
      <c r="A93">
        <v>60</v>
      </c>
      <c r="B93" t="s">
        <v>216</v>
      </c>
      <c r="C93" t="s">
        <v>86</v>
      </c>
      <c r="D93" t="s">
        <v>219</v>
      </c>
      <c r="E93" t="s">
        <v>220</v>
      </c>
    </row>
    <row r="94" spans="1:6">
      <c r="A94">
        <v>61</v>
      </c>
      <c r="B94" t="s">
        <v>16</v>
      </c>
      <c r="C94" t="s">
        <v>86</v>
      </c>
      <c r="D94" t="s">
        <v>221</v>
      </c>
      <c r="E94" t="s">
        <v>222</v>
      </c>
      <c r="F94" t="s">
        <v>19</v>
      </c>
    </row>
    <row r="95" spans="1:6">
      <c r="A95">
        <v>62</v>
      </c>
      <c r="B95" t="s">
        <v>55</v>
      </c>
      <c r="C95" t="s">
        <v>86</v>
      </c>
      <c r="D95" t="s">
        <v>223</v>
      </c>
      <c r="E95" t="s">
        <v>224</v>
      </c>
    </row>
    <row r="96" spans="1:6">
      <c r="A96">
        <v>63</v>
      </c>
      <c r="B96" t="s">
        <v>225</v>
      </c>
      <c r="C96" t="s">
        <v>86</v>
      </c>
      <c r="D96" t="s">
        <v>226</v>
      </c>
      <c r="E96" t="s">
        <v>227</v>
      </c>
    </row>
    <row r="97" spans="1:6">
      <c r="A97">
        <v>64</v>
      </c>
      <c r="B97" t="s">
        <v>55</v>
      </c>
      <c r="C97" t="s">
        <v>86</v>
      </c>
      <c r="D97" t="s">
        <v>228</v>
      </c>
      <c r="E97" t="s">
        <v>229</v>
      </c>
    </row>
    <row r="98" spans="1:6">
      <c r="A98">
        <v>65</v>
      </c>
      <c r="B98" t="s">
        <v>230</v>
      </c>
      <c r="C98" t="s">
        <v>86</v>
      </c>
      <c r="D98" t="s">
        <v>231</v>
      </c>
      <c r="E98" t="s">
        <v>232</v>
      </c>
    </row>
    <row r="99" spans="1:6">
      <c r="A99">
        <v>66</v>
      </c>
      <c r="B99" t="s">
        <v>122</v>
      </c>
      <c r="C99" t="s">
        <v>86</v>
      </c>
      <c r="D99" t="s">
        <v>233</v>
      </c>
      <c r="E99" t="s">
        <v>234</v>
      </c>
    </row>
    <row r="100" spans="1:6">
      <c r="A100">
        <v>67</v>
      </c>
      <c r="B100" t="s">
        <v>16</v>
      </c>
      <c r="C100" t="s">
        <v>86</v>
      </c>
      <c r="D100" t="s">
        <v>235</v>
      </c>
      <c r="E100" t="s">
        <v>236</v>
      </c>
      <c r="F100" t="s">
        <v>32</v>
      </c>
    </row>
    <row r="101" spans="1:6">
      <c r="A101">
        <v>68</v>
      </c>
      <c r="B101" t="s">
        <v>133</v>
      </c>
      <c r="C101" t="s">
        <v>86</v>
      </c>
      <c r="D101" t="s">
        <v>237</v>
      </c>
      <c r="E101" t="s">
        <v>238</v>
      </c>
    </row>
    <row r="102" spans="1:6">
      <c r="A102">
        <v>69</v>
      </c>
      <c r="B102" t="s">
        <v>55</v>
      </c>
      <c r="C102" t="s">
        <v>86</v>
      </c>
      <c r="D102" t="s">
        <v>228</v>
      </c>
      <c r="E102" t="s">
        <v>239</v>
      </c>
    </row>
    <row r="103" spans="1:6">
      <c r="A103">
        <v>70</v>
      </c>
      <c r="B103" t="s">
        <v>240</v>
      </c>
      <c r="C103" t="s">
        <v>86</v>
      </c>
      <c r="D103" t="s">
        <v>241</v>
      </c>
      <c r="E103" t="s">
        <v>242</v>
      </c>
    </row>
    <row r="104" spans="1:6">
      <c r="A104">
        <v>71</v>
      </c>
      <c r="B104" t="s">
        <v>16</v>
      </c>
      <c r="C104" t="s">
        <v>86</v>
      </c>
      <c r="D104" t="s">
        <v>243</v>
      </c>
      <c r="E104" t="s">
        <v>244</v>
      </c>
      <c r="F104" t="s">
        <v>19</v>
      </c>
    </row>
    <row r="105" spans="1:6">
      <c r="A105">
        <v>72</v>
      </c>
      <c r="B105" t="s">
        <v>122</v>
      </c>
      <c r="C105" t="s">
        <v>86</v>
      </c>
      <c r="D105" t="s">
        <v>245</v>
      </c>
      <c r="E105" t="s">
        <v>246</v>
      </c>
    </row>
    <row r="106" spans="1:6">
      <c r="A106">
        <v>73</v>
      </c>
      <c r="B106" t="s">
        <v>48</v>
      </c>
      <c r="C106" t="s">
        <v>86</v>
      </c>
      <c r="D106" t="s">
        <v>247</v>
      </c>
      <c r="E106" t="s">
        <v>248</v>
      </c>
    </row>
    <row r="107" spans="1:6">
      <c r="A107">
        <v>74</v>
      </c>
      <c r="B107" t="s">
        <v>113</v>
      </c>
      <c r="C107" t="s">
        <v>86</v>
      </c>
      <c r="D107" t="s">
        <v>249</v>
      </c>
      <c r="E107" t="s">
        <v>250</v>
      </c>
    </row>
    <row r="108" spans="1:6">
      <c r="A108">
        <v>75</v>
      </c>
      <c r="B108" t="s">
        <v>16</v>
      </c>
      <c r="C108" t="s">
        <v>86</v>
      </c>
      <c r="D108" t="s">
        <v>251</v>
      </c>
      <c r="E108" t="s">
        <v>252</v>
      </c>
      <c r="F108" t="s">
        <v>253</v>
      </c>
    </row>
    <row r="109" spans="1:6">
      <c r="A109">
        <v>76</v>
      </c>
      <c r="B109" t="s">
        <v>55</v>
      </c>
      <c r="C109" t="s">
        <v>86</v>
      </c>
      <c r="D109" t="s">
        <v>254</v>
      </c>
      <c r="E109" t="s">
        <v>255</v>
      </c>
    </row>
    <row r="110" spans="1:6">
      <c r="A110">
        <v>77</v>
      </c>
      <c r="B110" t="s">
        <v>16</v>
      </c>
      <c r="C110" t="s">
        <v>86</v>
      </c>
      <c r="D110" t="s">
        <v>256</v>
      </c>
      <c r="E110" t="s">
        <v>257</v>
      </c>
      <c r="F110" t="s">
        <v>258</v>
      </c>
    </row>
    <row r="111" spans="1:6">
      <c r="A111">
        <v>78</v>
      </c>
      <c r="B111">
        <v>0</v>
      </c>
      <c r="C111">
        <v>0</v>
      </c>
      <c r="E111" t="s">
        <v>259</v>
      </c>
    </row>
    <row r="112" spans="1:6">
      <c r="A112">
        <v>79</v>
      </c>
      <c r="B112">
        <v>0</v>
      </c>
      <c r="C112">
        <v>0</v>
      </c>
      <c r="E112" t="s">
        <v>260</v>
      </c>
    </row>
    <row r="113" spans="1:6">
      <c r="A113">
        <v>80</v>
      </c>
      <c r="B113" t="s">
        <v>261</v>
      </c>
      <c r="C113" t="s">
        <v>86</v>
      </c>
      <c r="D113" t="s">
        <v>262</v>
      </c>
      <c r="E113" t="s">
        <v>263</v>
      </c>
    </row>
    <row r="114" spans="1:6">
      <c r="A114">
        <v>81</v>
      </c>
      <c r="B114" t="s">
        <v>66</v>
      </c>
      <c r="C114" t="s">
        <v>86</v>
      </c>
      <c r="D114" t="s">
        <v>264</v>
      </c>
      <c r="E114" t="s">
        <v>265</v>
      </c>
    </row>
    <row r="115" spans="1:6">
      <c r="A115">
        <v>82</v>
      </c>
      <c r="B115" t="s">
        <v>133</v>
      </c>
      <c r="C115" t="s">
        <v>86</v>
      </c>
      <c r="D115" t="s">
        <v>266</v>
      </c>
      <c r="E115" t="s">
        <v>267</v>
      </c>
    </row>
    <row r="116" spans="1:6">
      <c r="A116">
        <v>83</v>
      </c>
      <c r="B116" t="s">
        <v>16</v>
      </c>
      <c r="C116" t="s">
        <v>86</v>
      </c>
      <c r="D116" t="s">
        <v>243</v>
      </c>
      <c r="E116" t="s">
        <v>268</v>
      </c>
    </row>
    <row r="117" spans="1:6">
      <c r="A117">
        <v>84</v>
      </c>
      <c r="B117" t="s">
        <v>269</v>
      </c>
      <c r="C117" t="s">
        <v>86</v>
      </c>
      <c r="D117" t="s">
        <v>270</v>
      </c>
      <c r="E117" t="s">
        <v>271</v>
      </c>
    </row>
    <row r="118" spans="1:6">
      <c r="A118">
        <v>85</v>
      </c>
      <c r="B118" t="s">
        <v>66</v>
      </c>
      <c r="C118" t="s">
        <v>86</v>
      </c>
      <c r="D118" t="s">
        <v>272</v>
      </c>
      <c r="E118" t="s">
        <v>273</v>
      </c>
    </row>
    <row r="119" spans="1:6">
      <c r="A119">
        <v>86</v>
      </c>
      <c r="B119" t="s">
        <v>13</v>
      </c>
      <c r="C119" t="s">
        <v>86</v>
      </c>
      <c r="D119" t="s">
        <v>274</v>
      </c>
      <c r="E119" t="s">
        <v>275</v>
      </c>
    </row>
    <row r="120" spans="1:6">
      <c r="A120">
        <v>87</v>
      </c>
      <c r="B120" t="s">
        <v>13</v>
      </c>
      <c r="C120" t="s">
        <v>86</v>
      </c>
      <c r="D120" t="s">
        <v>276</v>
      </c>
      <c r="E120" t="s">
        <v>277</v>
      </c>
    </row>
    <row r="121" spans="1:6">
      <c r="A121">
        <v>88</v>
      </c>
      <c r="B121" t="s">
        <v>95</v>
      </c>
      <c r="C121" t="s">
        <v>86</v>
      </c>
      <c r="D121" t="s">
        <v>278</v>
      </c>
      <c r="E121" t="s">
        <v>279</v>
      </c>
    </row>
    <row r="122" spans="1:6">
      <c r="A122">
        <v>89</v>
      </c>
      <c r="B122" t="s">
        <v>16</v>
      </c>
      <c r="C122" t="s">
        <v>86</v>
      </c>
      <c r="D122" t="s">
        <v>280</v>
      </c>
      <c r="E122" t="s">
        <v>281</v>
      </c>
      <c r="F122" t="s">
        <v>32</v>
      </c>
    </row>
    <row r="123" spans="1:6">
      <c r="A123">
        <v>90</v>
      </c>
      <c r="B123" t="s">
        <v>16</v>
      </c>
      <c r="C123" t="s">
        <v>86</v>
      </c>
      <c r="D123" t="s">
        <v>282</v>
      </c>
      <c r="E123" t="s">
        <v>283</v>
      </c>
      <c r="F123" t="s">
        <v>32</v>
      </c>
    </row>
    <row r="124" spans="1:6">
      <c r="A124">
        <v>91</v>
      </c>
      <c r="B124" t="s">
        <v>16</v>
      </c>
      <c r="C124" t="s">
        <v>86</v>
      </c>
      <c r="D124" t="s">
        <v>284</v>
      </c>
      <c r="E124" t="s">
        <v>285</v>
      </c>
      <c r="F124" t="s">
        <v>32</v>
      </c>
    </row>
    <row r="125" spans="1:6">
      <c r="A125">
        <v>92</v>
      </c>
      <c r="B125" t="s">
        <v>225</v>
      </c>
      <c r="C125" t="s">
        <v>86</v>
      </c>
      <c r="D125" t="s">
        <v>286</v>
      </c>
      <c r="E125" t="s">
        <v>287</v>
      </c>
    </row>
    <row r="126" spans="1:6">
      <c r="A126">
        <v>93</v>
      </c>
      <c r="B126" t="s">
        <v>6</v>
      </c>
      <c r="C126" t="s">
        <v>86</v>
      </c>
      <c r="D126" t="s">
        <v>288</v>
      </c>
      <c r="E126" t="s">
        <v>289</v>
      </c>
    </row>
    <row r="127" spans="1:6">
      <c r="A127">
        <v>94</v>
      </c>
      <c r="B127" t="s">
        <v>33</v>
      </c>
      <c r="C127" t="s">
        <v>86</v>
      </c>
      <c r="D127" t="s">
        <v>290</v>
      </c>
      <c r="E127" t="s">
        <v>291</v>
      </c>
    </row>
    <row r="128" spans="1:6">
      <c r="A128">
        <v>95</v>
      </c>
      <c r="B128" t="s">
        <v>16</v>
      </c>
      <c r="C128" t="s">
        <v>86</v>
      </c>
      <c r="D128" t="s">
        <v>292</v>
      </c>
      <c r="E128" t="s">
        <v>293</v>
      </c>
    </row>
    <row r="129" spans="1:6">
      <c r="A129">
        <v>96</v>
      </c>
      <c r="B129" t="s">
        <v>16</v>
      </c>
      <c r="C129" t="s">
        <v>86</v>
      </c>
      <c r="D129" t="s">
        <v>294</v>
      </c>
      <c r="E129" t="s">
        <v>295</v>
      </c>
    </row>
    <row r="130" spans="1:6">
      <c r="A130">
        <v>97</v>
      </c>
      <c r="B130" t="s">
        <v>16</v>
      </c>
      <c r="C130" t="s">
        <v>86</v>
      </c>
      <c r="D130" t="s">
        <v>296</v>
      </c>
      <c r="E130" t="s">
        <v>297</v>
      </c>
    </row>
    <row r="131" spans="1:6">
      <c r="A131">
        <v>98</v>
      </c>
      <c r="B131" t="s">
        <v>16</v>
      </c>
      <c r="C131" t="s">
        <v>86</v>
      </c>
      <c r="D131" t="s">
        <v>298</v>
      </c>
      <c r="E131" t="s">
        <v>299</v>
      </c>
    </row>
    <row r="132" spans="1:6">
      <c r="A132">
        <v>99</v>
      </c>
      <c r="B132" t="s">
        <v>16</v>
      </c>
      <c r="C132" t="s">
        <v>86</v>
      </c>
      <c r="D132" t="s">
        <v>300</v>
      </c>
      <c r="E132" t="s">
        <v>301</v>
      </c>
    </row>
    <row r="133" spans="1:6">
      <c r="A133">
        <v>100</v>
      </c>
      <c r="B133" t="s">
        <v>16</v>
      </c>
      <c r="C133" t="s">
        <v>86</v>
      </c>
      <c r="D133" t="s">
        <v>302</v>
      </c>
      <c r="E133" t="s">
        <v>303</v>
      </c>
    </row>
    <row r="134" spans="1:6">
      <c r="A134" s="63"/>
      <c r="B134" s="63"/>
      <c r="C134" s="63"/>
      <c r="D134" s="63"/>
      <c r="E134" s="63"/>
      <c r="F134" s="63"/>
    </row>
    <row r="135" spans="1:6">
      <c r="A135">
        <v>101</v>
      </c>
      <c r="B135" t="s">
        <v>122</v>
      </c>
      <c r="D135" t="s">
        <v>304</v>
      </c>
      <c r="E135" t="s">
        <v>305</v>
      </c>
    </row>
    <row r="136" spans="1:6">
      <c r="A136">
        <v>102</v>
      </c>
      <c r="B136" t="s">
        <v>16</v>
      </c>
      <c r="D136" t="s">
        <v>306</v>
      </c>
      <c r="E136" t="s">
        <v>307</v>
      </c>
    </row>
    <row r="137" spans="1:6">
      <c r="A137">
        <v>103</v>
      </c>
      <c r="B137" t="s">
        <v>16</v>
      </c>
      <c r="D137" t="s">
        <v>308</v>
      </c>
      <c r="E137" t="s">
        <v>309</v>
      </c>
    </row>
    <row r="138" spans="1:6">
      <c r="A138">
        <v>104</v>
      </c>
      <c r="B138" t="s">
        <v>122</v>
      </c>
      <c r="D138" t="s">
        <v>310</v>
      </c>
      <c r="E138" t="s">
        <v>311</v>
      </c>
    </row>
    <row r="139" spans="1:6">
      <c r="A139">
        <v>105</v>
      </c>
      <c r="B139" t="s">
        <v>13</v>
      </c>
      <c r="D139" t="s">
        <v>312</v>
      </c>
      <c r="E139" t="s">
        <v>313</v>
      </c>
    </row>
    <row r="140" spans="1:6">
      <c r="A140">
        <v>106</v>
      </c>
      <c r="B140" t="s">
        <v>314</v>
      </c>
      <c r="D140" t="s">
        <v>315</v>
      </c>
      <c r="E140" t="s">
        <v>316</v>
      </c>
    </row>
    <row r="141" spans="1:6">
      <c r="A141">
        <v>107</v>
      </c>
      <c r="B141" t="s">
        <v>176</v>
      </c>
      <c r="D141" t="s">
        <v>317</v>
      </c>
      <c r="E141" t="s">
        <v>318</v>
      </c>
    </row>
    <row r="142" spans="1:6">
      <c r="A142">
        <v>108</v>
      </c>
      <c r="B142" t="s">
        <v>13</v>
      </c>
      <c r="D142" t="s">
        <v>319</v>
      </c>
      <c r="E142" t="s">
        <v>320</v>
      </c>
    </row>
    <row r="143" spans="1:6">
      <c r="A143">
        <v>109</v>
      </c>
      <c r="B143" t="s">
        <v>16</v>
      </c>
      <c r="D143" t="s">
        <v>321</v>
      </c>
      <c r="E143" t="s">
        <v>322</v>
      </c>
    </row>
    <row r="144" spans="1:6">
      <c r="A144">
        <v>110</v>
      </c>
      <c r="B144" t="s">
        <v>16</v>
      </c>
      <c r="D144" t="s">
        <v>323</v>
      </c>
      <c r="E144" t="s">
        <v>324</v>
      </c>
    </row>
    <row r="145" spans="1:5">
      <c r="A145">
        <v>111</v>
      </c>
      <c r="B145" t="s">
        <v>16</v>
      </c>
      <c r="D145" t="s">
        <v>325</v>
      </c>
      <c r="E145" t="s">
        <v>326</v>
      </c>
    </row>
    <row r="146" spans="1:5">
      <c r="A146">
        <v>112</v>
      </c>
      <c r="B146" t="s">
        <v>225</v>
      </c>
      <c r="D146" t="s">
        <v>327</v>
      </c>
      <c r="E146" t="s">
        <v>328</v>
      </c>
    </row>
    <row r="147" spans="1:5">
      <c r="A147">
        <v>113</v>
      </c>
      <c r="B147" t="s">
        <v>329</v>
      </c>
      <c r="D147" t="s">
        <v>330</v>
      </c>
      <c r="E147" t="s">
        <v>331</v>
      </c>
    </row>
    <row r="148" spans="1:5">
      <c r="A148">
        <v>114</v>
      </c>
      <c r="B148" t="s">
        <v>332</v>
      </c>
      <c r="D148" t="s">
        <v>333</v>
      </c>
      <c r="E148" t="s">
        <v>334</v>
      </c>
    </row>
    <row r="149" spans="1:5">
      <c r="A149">
        <v>115</v>
      </c>
      <c r="E149" t="s">
        <v>335</v>
      </c>
    </row>
    <row r="150" spans="1:5">
      <c r="A150">
        <v>116</v>
      </c>
      <c r="E150" t="s">
        <v>336</v>
      </c>
    </row>
    <row r="151" spans="1:5">
      <c r="A151">
        <v>117</v>
      </c>
      <c r="E151" t="s">
        <v>337</v>
      </c>
    </row>
    <row r="1048564" spans="1:3">
      <c r="A1048564" t="s">
        <v>338</v>
      </c>
      <c r="B1048564" t="s">
        <v>339</v>
      </c>
      <c r="C1048564" t="s">
        <v>340</v>
      </c>
    </row>
    <row r="1048565" spans="1:3">
      <c r="A1048565" t="s">
        <v>341</v>
      </c>
      <c r="B1048565" t="s">
        <v>342</v>
      </c>
      <c r="C1048565" t="s">
        <v>343</v>
      </c>
    </row>
    <row r="1048566" spans="1:3">
      <c r="A1048566" t="s">
        <v>344</v>
      </c>
      <c r="B1048566" t="s">
        <v>345</v>
      </c>
      <c r="C1048566" t="s">
        <v>346</v>
      </c>
    </row>
    <row r="1048567" spans="1:3">
      <c r="A1048567" t="s">
        <v>347</v>
      </c>
      <c r="B1048567" t="s">
        <v>348</v>
      </c>
      <c r="C1048567" t="s">
        <v>349</v>
      </c>
    </row>
    <row r="1048568" spans="1:3">
      <c r="A1048568" t="s">
        <v>350</v>
      </c>
      <c r="B1048568" t="s">
        <v>351</v>
      </c>
    </row>
    <row r="1048569" spans="1:3">
      <c r="A1048569" t="s">
        <v>352</v>
      </c>
      <c r="B1048569" t="s">
        <v>353</v>
      </c>
    </row>
    <row r="1048570" spans="1:3">
      <c r="A1048570" t="s">
        <v>354</v>
      </c>
      <c r="B1048570" t="s">
        <v>355</v>
      </c>
    </row>
    <row r="1048571" spans="1:3">
      <c r="B1048571" t="s">
        <v>356</v>
      </c>
    </row>
    <row r="1048572" spans="1:3">
      <c r="B1048572" t="s">
        <v>357</v>
      </c>
    </row>
    <row r="1048573" spans="1:3">
      <c r="B1048573" t="s">
        <v>358</v>
      </c>
    </row>
    <row r="1048574" spans="1:3">
      <c r="B1048574" t="s">
        <v>359</v>
      </c>
    </row>
    <row r="1048575" spans="1:3">
      <c r="B1048575" t="s">
        <v>360</v>
      </c>
    </row>
    <row r="1048576" spans="1:3">
      <c r="B1048576" t="s">
        <v>361</v>
      </c>
    </row>
  </sheetData>
  <sheetProtection algorithmName="SHA-512" hashValue="xdtv+r64GYnw67yXXcShX7AgmOMvjsm63mm9cp2GAzCIKzk1wBEPtImJgN8inYIDSioelOYt3xBGqdZGEM60Bw==" saltValue="YIrQz6/JgnygbwIm90i9JA==" spinCount="100000" sheet="1" objects="1" scenarios="1" selectLockedCells="1" selectUnlockedCells="1"/>
  <phoneticPr fontId="6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32DF-1919-2B44-B1E1-55467590F301}">
  <sheetPr>
    <pageSetUpPr fitToPage="1"/>
  </sheetPr>
  <dimension ref="A2:N100"/>
  <sheetViews>
    <sheetView zoomScaleNormal="100" workbookViewId="0">
      <pane ySplit="4" topLeftCell="A60" activePane="bottomLeft" state="frozen"/>
      <selection activeCell="D1" sqref="D1"/>
      <selection pane="bottomLeft" activeCell="D116" sqref="D116"/>
    </sheetView>
  </sheetViews>
  <sheetFormatPr defaultColWidth="11.3984375" defaultRowHeight="13.8"/>
  <cols>
    <col min="1" max="1" width="16.69921875" bestFit="1" customWidth="1"/>
    <col min="2" max="2" width="19.69921875" customWidth="1"/>
    <col min="3" max="3" width="16.09765625" bestFit="1" customWidth="1"/>
    <col min="4" max="4" width="18.3984375" bestFit="1" customWidth="1"/>
    <col min="5" max="5" width="123.09765625" bestFit="1" customWidth="1"/>
    <col min="6" max="6" width="22.3984375" bestFit="1" customWidth="1"/>
    <col min="7" max="7" width="9.69921875" bestFit="1" customWidth="1"/>
    <col min="8" max="8" width="27.69921875" bestFit="1" customWidth="1"/>
    <col min="9" max="9" width="9.69921875" bestFit="1" customWidth="1"/>
    <col min="10" max="10" width="6.3984375" bestFit="1" customWidth="1"/>
    <col min="11" max="11" width="11.3984375" bestFit="1" customWidth="1"/>
    <col min="12" max="12" width="33.8984375" customWidth="1"/>
  </cols>
  <sheetData>
    <row r="2" spans="1:14">
      <c r="A2" s="569" t="s">
        <v>682</v>
      </c>
      <c r="B2" s="569"/>
      <c r="C2" s="569"/>
      <c r="D2" s="569"/>
      <c r="E2" s="569"/>
    </row>
    <row r="4" spans="1:14">
      <c r="A4" s="107" t="s">
        <v>683</v>
      </c>
      <c r="B4" s="107" t="s">
        <v>684</v>
      </c>
      <c r="C4" s="108" t="s">
        <v>685</v>
      </c>
      <c r="D4" s="77" t="s">
        <v>490</v>
      </c>
      <c r="E4" s="77" t="s">
        <v>491</v>
      </c>
      <c r="G4" s="109" t="s">
        <v>686</v>
      </c>
      <c r="H4" s="109" t="s">
        <v>687</v>
      </c>
      <c r="I4" s="109" t="s">
        <v>687</v>
      </c>
      <c r="J4" s="109"/>
      <c r="K4" s="54" t="s">
        <v>688</v>
      </c>
      <c r="L4" s="54" t="s">
        <v>689</v>
      </c>
      <c r="M4" s="54" t="s">
        <v>690</v>
      </c>
      <c r="N4" s="110" t="s">
        <v>686</v>
      </c>
    </row>
    <row r="5" spans="1:14">
      <c r="A5" s="96"/>
      <c r="B5" s="96"/>
      <c r="C5" s="97"/>
      <c r="D5" s="98"/>
      <c r="E5" s="98"/>
      <c r="G5" t="s">
        <v>691</v>
      </c>
      <c r="H5" t="s">
        <v>692</v>
      </c>
      <c r="I5" t="s">
        <v>692</v>
      </c>
      <c r="K5" s="62">
        <v>1</v>
      </c>
      <c r="L5" s="10" t="s">
        <v>448</v>
      </c>
      <c r="M5" s="10" t="s">
        <v>513</v>
      </c>
      <c r="N5" s="10" t="s">
        <v>693</v>
      </c>
    </row>
    <row r="6" spans="1:14">
      <c r="A6" s="96"/>
      <c r="B6" s="99" t="s">
        <v>57</v>
      </c>
      <c r="C6" s="97" t="s">
        <v>57</v>
      </c>
      <c r="D6" s="98" t="s">
        <v>694</v>
      </c>
      <c r="E6" s="100" t="s">
        <v>695</v>
      </c>
      <c r="G6" t="s">
        <v>696</v>
      </c>
      <c r="H6" t="s">
        <v>693</v>
      </c>
      <c r="I6" t="s">
        <v>693</v>
      </c>
      <c r="K6" s="62">
        <v>2</v>
      </c>
      <c r="L6" s="10" t="s">
        <v>697</v>
      </c>
      <c r="M6" s="10" t="s">
        <v>504</v>
      </c>
      <c r="N6" s="10" t="s">
        <v>698</v>
      </c>
    </row>
    <row r="7" spans="1:14">
      <c r="A7" s="96"/>
      <c r="B7" s="99" t="s">
        <v>130</v>
      </c>
      <c r="C7" s="99" t="s">
        <v>130</v>
      </c>
      <c r="D7" s="98" t="s">
        <v>694</v>
      </c>
      <c r="E7" s="100" t="s">
        <v>699</v>
      </c>
      <c r="G7" t="s">
        <v>700</v>
      </c>
      <c r="H7" t="s">
        <v>698</v>
      </c>
      <c r="I7" t="s">
        <v>698</v>
      </c>
      <c r="K7" s="62">
        <v>3</v>
      </c>
      <c r="L7" s="10" t="s">
        <v>701</v>
      </c>
      <c r="M7" s="10" t="s">
        <v>531</v>
      </c>
      <c r="N7" s="10" t="s">
        <v>698</v>
      </c>
    </row>
    <row r="8" spans="1:14">
      <c r="A8" s="96"/>
      <c r="B8" s="99" t="s">
        <v>224</v>
      </c>
      <c r="C8" s="99" t="s">
        <v>224</v>
      </c>
      <c r="D8" s="98" t="s">
        <v>694</v>
      </c>
      <c r="E8" s="100" t="s">
        <v>702</v>
      </c>
      <c r="G8" t="s">
        <v>703</v>
      </c>
      <c r="H8" t="s">
        <v>704</v>
      </c>
      <c r="I8" t="s">
        <v>704</v>
      </c>
      <c r="K8" s="62">
        <v>4</v>
      </c>
      <c r="L8" s="10" t="s">
        <v>705</v>
      </c>
      <c r="M8" s="10" t="s">
        <v>510</v>
      </c>
      <c r="N8" s="10" t="s">
        <v>692</v>
      </c>
    </row>
    <row r="9" spans="1:14">
      <c r="A9" s="96"/>
      <c r="B9" s="99" t="s">
        <v>257</v>
      </c>
      <c r="C9" s="99" t="s">
        <v>257</v>
      </c>
      <c r="D9" s="98" t="s">
        <v>513</v>
      </c>
      <c r="E9" s="100" t="s">
        <v>256</v>
      </c>
      <c r="G9" t="s">
        <v>706</v>
      </c>
      <c r="H9" t="s">
        <v>707</v>
      </c>
      <c r="I9" t="s">
        <v>707</v>
      </c>
      <c r="K9" s="62">
        <v>5</v>
      </c>
      <c r="L9" s="10" t="s">
        <v>708</v>
      </c>
      <c r="M9" s="10" t="s">
        <v>694</v>
      </c>
      <c r="N9" s="10" t="s">
        <v>698</v>
      </c>
    </row>
    <row r="10" spans="1:14">
      <c r="A10" s="96"/>
      <c r="B10" s="10" t="s">
        <v>68</v>
      </c>
      <c r="C10" s="10" t="s">
        <v>68</v>
      </c>
      <c r="D10" s="98" t="s">
        <v>516</v>
      </c>
      <c r="E10" s="10" t="s">
        <v>67</v>
      </c>
      <c r="K10" s="62">
        <v>6</v>
      </c>
      <c r="L10" s="10" t="s">
        <v>709</v>
      </c>
      <c r="M10" s="10" t="s">
        <v>499</v>
      </c>
      <c r="N10" s="10" t="s">
        <v>698</v>
      </c>
    </row>
    <row r="11" spans="1:14">
      <c r="A11" s="96"/>
      <c r="B11" s="10" t="s">
        <v>71</v>
      </c>
      <c r="C11" s="10" t="s">
        <v>71</v>
      </c>
      <c r="D11" s="98" t="s">
        <v>710</v>
      </c>
      <c r="E11" s="10" t="s">
        <v>70</v>
      </c>
      <c r="K11" s="62">
        <v>7</v>
      </c>
      <c r="L11" s="10" t="s">
        <v>711</v>
      </c>
      <c r="M11" s="10" t="s">
        <v>628</v>
      </c>
      <c r="N11" s="10" t="s">
        <v>704</v>
      </c>
    </row>
    <row r="12" spans="1:14">
      <c r="A12" s="96"/>
      <c r="B12" s="10" t="s">
        <v>74</v>
      </c>
      <c r="C12" s="10" t="s">
        <v>74</v>
      </c>
      <c r="D12" s="98" t="s">
        <v>522</v>
      </c>
      <c r="E12" s="10" t="s">
        <v>73</v>
      </c>
      <c r="K12" s="62">
        <v>8</v>
      </c>
      <c r="L12" s="10" t="s">
        <v>712</v>
      </c>
      <c r="M12" s="10" t="s">
        <v>641</v>
      </c>
      <c r="N12" s="10" t="s">
        <v>707</v>
      </c>
    </row>
    <row r="13" spans="1:14">
      <c r="A13" s="96"/>
      <c r="B13" s="10" t="s">
        <v>77</v>
      </c>
      <c r="C13" s="10" t="s">
        <v>77</v>
      </c>
      <c r="D13" s="98" t="s">
        <v>519</v>
      </c>
      <c r="E13" s="10" t="s">
        <v>76</v>
      </c>
      <c r="K13" s="62">
        <v>9</v>
      </c>
      <c r="L13" s="10" t="s">
        <v>713</v>
      </c>
      <c r="M13" s="10" t="s">
        <v>543</v>
      </c>
      <c r="N13" s="10" t="s">
        <v>698</v>
      </c>
    </row>
    <row r="14" spans="1:14">
      <c r="A14" s="96"/>
      <c r="B14" s="10" t="s">
        <v>79</v>
      </c>
      <c r="C14" s="10" t="s">
        <v>79</v>
      </c>
      <c r="D14" s="98"/>
      <c r="E14" s="10" t="s">
        <v>78</v>
      </c>
      <c r="K14" s="62">
        <v>10</v>
      </c>
      <c r="L14" s="10" t="s">
        <v>714</v>
      </c>
      <c r="M14" s="10" t="s">
        <v>631</v>
      </c>
      <c r="N14" s="10" t="s">
        <v>704</v>
      </c>
    </row>
    <row r="15" spans="1:14">
      <c r="A15" s="96"/>
      <c r="B15" s="10" t="s">
        <v>81</v>
      </c>
      <c r="C15" s="10" t="s">
        <v>81</v>
      </c>
      <c r="D15" s="98"/>
      <c r="E15" s="10" t="s">
        <v>80</v>
      </c>
      <c r="K15" s="62">
        <v>11</v>
      </c>
      <c r="L15" s="10" t="s">
        <v>715</v>
      </c>
      <c r="M15" s="10" t="s">
        <v>540</v>
      </c>
      <c r="N15" s="10" t="s">
        <v>698</v>
      </c>
    </row>
    <row r="16" spans="1:14">
      <c r="A16" s="96"/>
      <c r="B16" s="10" t="s">
        <v>83</v>
      </c>
      <c r="C16" s="10" t="s">
        <v>83</v>
      </c>
      <c r="D16" s="98" t="s">
        <v>525</v>
      </c>
      <c r="E16" s="10" t="s">
        <v>82</v>
      </c>
      <c r="K16" s="62">
        <v>12</v>
      </c>
      <c r="L16" s="10" t="s">
        <v>716</v>
      </c>
      <c r="M16" s="10" t="s">
        <v>625</v>
      </c>
      <c r="N16" s="10" t="s">
        <v>704</v>
      </c>
    </row>
    <row r="17" spans="1:14">
      <c r="A17" s="96"/>
      <c r="B17" s="10"/>
      <c r="C17" s="10"/>
      <c r="D17" s="98"/>
      <c r="E17" s="10"/>
      <c r="K17" s="62">
        <v>13</v>
      </c>
      <c r="L17" s="10" t="s">
        <v>444</v>
      </c>
      <c r="M17" s="10" t="s">
        <v>502</v>
      </c>
      <c r="N17" s="10" t="s">
        <v>698</v>
      </c>
    </row>
    <row r="18" spans="1:14">
      <c r="A18" s="96"/>
      <c r="B18" s="99"/>
      <c r="C18" s="99" t="s">
        <v>528</v>
      </c>
      <c r="D18" s="98" t="s">
        <v>504</v>
      </c>
      <c r="E18" s="100" t="s">
        <v>310</v>
      </c>
      <c r="K18" s="62">
        <v>14</v>
      </c>
      <c r="L18" s="10" t="s">
        <v>717</v>
      </c>
      <c r="M18" s="10" t="s">
        <v>535</v>
      </c>
      <c r="N18" s="10" t="s">
        <v>698</v>
      </c>
    </row>
    <row r="19" spans="1:14">
      <c r="A19" s="62" t="s">
        <v>698</v>
      </c>
      <c r="B19" s="9" t="s">
        <v>143</v>
      </c>
      <c r="C19" s="34" t="s">
        <v>530</v>
      </c>
      <c r="D19" s="55" t="s">
        <v>531</v>
      </c>
      <c r="E19" s="100" t="s">
        <v>532</v>
      </c>
      <c r="K19" s="62">
        <v>15</v>
      </c>
      <c r="L19" s="10" t="s">
        <v>718</v>
      </c>
      <c r="M19" s="10" t="s">
        <v>719</v>
      </c>
      <c r="N19" s="10" t="s">
        <v>704</v>
      </c>
    </row>
    <row r="20" spans="1:14">
      <c r="A20" s="62" t="s">
        <v>704</v>
      </c>
      <c r="B20" s="9" t="s">
        <v>265</v>
      </c>
      <c r="C20" s="34" t="s">
        <v>720</v>
      </c>
      <c r="D20" s="55" t="s">
        <v>516</v>
      </c>
      <c r="E20" s="100" t="s">
        <v>264</v>
      </c>
      <c r="K20" s="62">
        <v>16</v>
      </c>
      <c r="L20" s="10" t="s">
        <v>721</v>
      </c>
      <c r="M20" s="10" t="s">
        <v>525</v>
      </c>
      <c r="N20" s="10" t="s">
        <v>704</v>
      </c>
    </row>
    <row r="21" spans="1:14">
      <c r="A21" s="62" t="s">
        <v>704</v>
      </c>
      <c r="B21" s="9" t="s">
        <v>121</v>
      </c>
      <c r="C21" s="34" t="s">
        <v>534</v>
      </c>
      <c r="D21" s="55" t="s">
        <v>535</v>
      </c>
      <c r="E21" s="100" t="s">
        <v>722</v>
      </c>
      <c r="K21" s="62">
        <v>17</v>
      </c>
      <c r="L21" s="10" t="s">
        <v>723</v>
      </c>
      <c r="M21" s="10" t="s">
        <v>516</v>
      </c>
      <c r="N21" s="10" t="s">
        <v>704</v>
      </c>
    </row>
    <row r="22" spans="1:14">
      <c r="A22" s="62" t="s">
        <v>692</v>
      </c>
      <c r="B22" s="9" t="s">
        <v>154</v>
      </c>
      <c r="C22" s="34" t="s">
        <v>413</v>
      </c>
      <c r="D22" s="55" t="s">
        <v>510</v>
      </c>
      <c r="E22" s="100" t="s">
        <v>537</v>
      </c>
      <c r="K22" s="62">
        <v>18</v>
      </c>
      <c r="L22" s="10" t="s">
        <v>724</v>
      </c>
      <c r="M22" s="10" t="s">
        <v>638</v>
      </c>
      <c r="N22" s="10" t="s">
        <v>707</v>
      </c>
    </row>
    <row r="23" spans="1:14">
      <c r="A23" s="62" t="s">
        <v>698</v>
      </c>
      <c r="B23" s="9" t="s">
        <v>250</v>
      </c>
      <c r="C23" s="34" t="s">
        <v>539</v>
      </c>
      <c r="D23" s="55" t="s">
        <v>540</v>
      </c>
      <c r="E23" s="101" t="s">
        <v>249</v>
      </c>
      <c r="K23" s="62">
        <v>19</v>
      </c>
      <c r="L23" s="10" t="s">
        <v>725</v>
      </c>
      <c r="M23" s="10" t="s">
        <v>648</v>
      </c>
      <c r="N23" s="10" t="s">
        <v>698</v>
      </c>
    </row>
    <row r="24" spans="1:14">
      <c r="A24" s="62" t="s">
        <v>698</v>
      </c>
      <c r="B24" s="9" t="s">
        <v>279</v>
      </c>
      <c r="C24" s="34" t="s">
        <v>542</v>
      </c>
      <c r="D24" s="55" t="s">
        <v>543</v>
      </c>
      <c r="E24" s="100" t="s">
        <v>544</v>
      </c>
      <c r="K24" s="62">
        <v>20</v>
      </c>
      <c r="L24" s="10" t="s">
        <v>726</v>
      </c>
      <c r="M24" s="10" t="s">
        <v>651</v>
      </c>
      <c r="N24" s="10" t="s">
        <v>704</v>
      </c>
    </row>
    <row r="25" spans="1:14">
      <c r="A25" s="62" t="s">
        <v>693</v>
      </c>
      <c r="B25" s="9" t="s">
        <v>252</v>
      </c>
      <c r="C25" s="34" t="s">
        <v>546</v>
      </c>
      <c r="D25" s="55" t="s">
        <v>513</v>
      </c>
      <c r="E25" s="100" t="s">
        <v>547</v>
      </c>
      <c r="K25" s="62">
        <v>21</v>
      </c>
      <c r="L25" s="10" t="s">
        <v>727</v>
      </c>
      <c r="M25" s="10"/>
      <c r="N25" s="10"/>
    </row>
    <row r="26" spans="1:14">
      <c r="A26" s="62" t="s">
        <v>693</v>
      </c>
      <c r="B26" s="9" t="s">
        <v>303</v>
      </c>
      <c r="C26" s="34" t="s">
        <v>423</v>
      </c>
      <c r="D26" s="55" t="s">
        <v>513</v>
      </c>
      <c r="E26" s="100" t="s">
        <v>302</v>
      </c>
      <c r="K26" s="62">
        <v>22</v>
      </c>
      <c r="L26" s="10" t="s">
        <v>728</v>
      </c>
      <c r="M26" s="10"/>
      <c r="N26" s="10"/>
    </row>
    <row r="27" spans="1:14">
      <c r="A27" s="62" t="s">
        <v>698</v>
      </c>
      <c r="B27" s="9" t="s">
        <v>255</v>
      </c>
      <c r="C27" s="34" t="s">
        <v>551</v>
      </c>
      <c r="D27" s="55" t="s">
        <v>694</v>
      </c>
      <c r="E27" s="100" t="s">
        <v>552</v>
      </c>
      <c r="K27" s="62">
        <v>23</v>
      </c>
      <c r="L27" s="10" t="s">
        <v>729</v>
      </c>
      <c r="M27" s="10"/>
      <c r="N27" s="10"/>
    </row>
    <row r="28" spans="1:14">
      <c r="A28" s="62" t="s">
        <v>692</v>
      </c>
      <c r="B28" s="9"/>
      <c r="C28" s="34" t="s">
        <v>432</v>
      </c>
      <c r="D28" s="55" t="s">
        <v>510</v>
      </c>
      <c r="E28" s="100" t="s">
        <v>730</v>
      </c>
      <c r="K28" s="62">
        <v>24</v>
      </c>
      <c r="L28" s="10" t="s">
        <v>731</v>
      </c>
      <c r="M28" s="10"/>
      <c r="N28" s="10"/>
    </row>
    <row r="29" spans="1:14">
      <c r="A29" s="62" t="s">
        <v>693</v>
      </c>
      <c r="B29" s="9" t="s">
        <v>299</v>
      </c>
      <c r="C29" s="34" t="s">
        <v>555</v>
      </c>
      <c r="D29" s="55" t="s">
        <v>513</v>
      </c>
      <c r="E29" s="100" t="s">
        <v>480</v>
      </c>
      <c r="K29" s="62">
        <v>25</v>
      </c>
      <c r="L29" s="10" t="s">
        <v>732</v>
      </c>
      <c r="M29" s="10"/>
      <c r="N29" s="10"/>
    </row>
    <row r="30" spans="1:14">
      <c r="A30" s="62" t="s">
        <v>692</v>
      </c>
      <c r="B30" s="9"/>
      <c r="C30" s="34" t="s">
        <v>431</v>
      </c>
      <c r="D30" s="55" t="s">
        <v>510</v>
      </c>
      <c r="E30" s="100" t="s">
        <v>733</v>
      </c>
      <c r="K30" s="62">
        <v>26</v>
      </c>
      <c r="L30" s="10" t="s">
        <v>734</v>
      </c>
      <c r="M30" s="10"/>
      <c r="N30" s="10"/>
    </row>
    <row r="31" spans="1:14">
      <c r="A31" s="62" t="s">
        <v>692</v>
      </c>
      <c r="B31" s="9" t="s">
        <v>275</v>
      </c>
      <c r="C31" s="34" t="s">
        <v>557</v>
      </c>
      <c r="D31" s="55" t="s">
        <v>510</v>
      </c>
      <c r="E31" s="101" t="s">
        <v>274</v>
      </c>
      <c r="K31" s="62">
        <v>27</v>
      </c>
      <c r="L31" s="10" t="s">
        <v>735</v>
      </c>
      <c r="M31" s="10"/>
      <c r="N31" s="10"/>
    </row>
    <row r="32" spans="1:14">
      <c r="A32" s="62" t="s">
        <v>692</v>
      </c>
      <c r="B32" s="9" t="s">
        <v>175</v>
      </c>
      <c r="C32" s="34" t="s">
        <v>559</v>
      </c>
      <c r="D32" s="55" t="s">
        <v>510</v>
      </c>
      <c r="E32" s="100" t="s">
        <v>560</v>
      </c>
      <c r="K32" s="62">
        <v>28</v>
      </c>
      <c r="L32" s="10" t="s">
        <v>736</v>
      </c>
      <c r="M32" s="10"/>
      <c r="N32" s="10"/>
    </row>
    <row r="33" spans="1:14">
      <c r="A33" s="62" t="s">
        <v>692</v>
      </c>
      <c r="B33" s="9" t="s">
        <v>277</v>
      </c>
      <c r="C33" s="34" t="s">
        <v>562</v>
      </c>
      <c r="D33" s="55" t="s">
        <v>510</v>
      </c>
      <c r="E33" s="100" t="s">
        <v>276</v>
      </c>
      <c r="K33" s="62">
        <v>29</v>
      </c>
      <c r="L33" s="10" t="s">
        <v>737</v>
      </c>
      <c r="M33" s="10"/>
      <c r="N33" s="10"/>
    </row>
    <row r="34" spans="1:14">
      <c r="A34" s="62" t="s">
        <v>693</v>
      </c>
      <c r="B34" s="9" t="s">
        <v>112</v>
      </c>
      <c r="C34" s="34" t="s">
        <v>564</v>
      </c>
      <c r="D34" s="55" t="s">
        <v>513</v>
      </c>
      <c r="E34" s="100" t="s">
        <v>738</v>
      </c>
      <c r="K34" s="62">
        <v>30</v>
      </c>
      <c r="L34" s="10" t="s">
        <v>739</v>
      </c>
      <c r="M34" s="10"/>
      <c r="N34" s="10"/>
    </row>
    <row r="35" spans="1:14">
      <c r="A35" s="62" t="s">
        <v>693</v>
      </c>
      <c r="B35" s="9" t="s">
        <v>222</v>
      </c>
      <c r="C35" s="34" t="s">
        <v>567</v>
      </c>
      <c r="D35" s="55" t="s">
        <v>513</v>
      </c>
      <c r="E35" s="100" t="s">
        <v>568</v>
      </c>
      <c r="K35" s="62">
        <v>31</v>
      </c>
      <c r="L35" s="10" t="s">
        <v>740</v>
      </c>
      <c r="M35" s="10"/>
      <c r="N35" s="10"/>
    </row>
    <row r="36" spans="1:14">
      <c r="A36" s="62" t="s">
        <v>693</v>
      </c>
      <c r="B36" s="9"/>
      <c r="C36" s="34" t="s">
        <v>410</v>
      </c>
      <c r="D36" s="55" t="s">
        <v>513</v>
      </c>
      <c r="E36" s="100" t="s">
        <v>741</v>
      </c>
      <c r="F36" s="23"/>
      <c r="G36" s="23"/>
      <c r="K36" s="62">
        <v>32</v>
      </c>
      <c r="L36" s="10" t="s">
        <v>742</v>
      </c>
      <c r="M36" s="10"/>
      <c r="N36" s="10"/>
    </row>
    <row r="37" spans="1:14">
      <c r="A37" s="62" t="s">
        <v>693</v>
      </c>
      <c r="B37" s="9"/>
      <c r="C37" s="79" t="s">
        <v>743</v>
      </c>
      <c r="D37" s="55" t="s">
        <v>513</v>
      </c>
      <c r="E37" s="97" t="s">
        <v>744</v>
      </c>
      <c r="F37" s="23"/>
      <c r="G37" s="23"/>
      <c r="K37" s="62">
        <v>33</v>
      </c>
      <c r="L37" s="10" t="s">
        <v>745</v>
      </c>
      <c r="M37" s="10"/>
      <c r="N37" s="10"/>
    </row>
    <row r="38" spans="1:14">
      <c r="A38" s="62" t="s">
        <v>693</v>
      </c>
      <c r="B38" s="9"/>
      <c r="C38" s="79" t="s">
        <v>746</v>
      </c>
      <c r="D38" s="55" t="s">
        <v>513</v>
      </c>
      <c r="E38" t="s">
        <v>487</v>
      </c>
      <c r="F38" s="23"/>
      <c r="G38" s="23"/>
    </row>
    <row r="39" spans="1:14">
      <c r="A39" s="62" t="s">
        <v>693</v>
      </c>
      <c r="B39" s="9"/>
      <c r="C39" s="79" t="s">
        <v>747</v>
      </c>
      <c r="D39" s="55" t="s">
        <v>513</v>
      </c>
      <c r="E39" t="s">
        <v>488</v>
      </c>
      <c r="F39" s="23"/>
      <c r="G39" s="23"/>
    </row>
    <row r="40" spans="1:14">
      <c r="A40" s="62" t="s">
        <v>693</v>
      </c>
      <c r="B40" s="9" t="s">
        <v>202</v>
      </c>
      <c r="C40" s="34" t="s">
        <v>377</v>
      </c>
      <c r="D40" s="55" t="s">
        <v>513</v>
      </c>
      <c r="E40" s="100" t="s">
        <v>571</v>
      </c>
    </row>
    <row r="41" spans="1:14">
      <c r="A41" s="62" t="s">
        <v>693</v>
      </c>
      <c r="B41" s="9" t="s">
        <v>194</v>
      </c>
      <c r="C41" s="34" t="s">
        <v>420</v>
      </c>
      <c r="D41" s="55" t="s">
        <v>513</v>
      </c>
      <c r="E41" s="102" t="s">
        <v>748</v>
      </c>
    </row>
    <row r="42" spans="1:14">
      <c r="A42" s="62" t="s">
        <v>693</v>
      </c>
      <c r="B42" s="9" t="s">
        <v>192</v>
      </c>
      <c r="C42" s="34" t="s">
        <v>574</v>
      </c>
      <c r="D42" s="55" t="s">
        <v>513</v>
      </c>
      <c r="E42" s="101" t="s">
        <v>749</v>
      </c>
    </row>
    <row r="43" spans="1:14">
      <c r="A43" s="62" t="s">
        <v>693</v>
      </c>
      <c r="B43" s="9" t="s">
        <v>173</v>
      </c>
      <c r="C43" s="34" t="s">
        <v>576</v>
      </c>
      <c r="D43" s="55" t="s">
        <v>513</v>
      </c>
      <c r="E43" s="100" t="s">
        <v>577</v>
      </c>
    </row>
    <row r="44" spans="1:14">
      <c r="A44" s="62" t="s">
        <v>693</v>
      </c>
      <c r="B44" s="9" t="s">
        <v>188</v>
      </c>
      <c r="C44" s="34" t="s">
        <v>411</v>
      </c>
      <c r="D44" s="55" t="s">
        <v>513</v>
      </c>
      <c r="E44" s="100" t="s">
        <v>750</v>
      </c>
    </row>
    <row r="45" spans="1:14">
      <c r="A45" s="62" t="s">
        <v>693</v>
      </c>
      <c r="B45" s="9" t="s">
        <v>92</v>
      </c>
      <c r="C45" s="34" t="s">
        <v>373</v>
      </c>
      <c r="D45" s="55" t="s">
        <v>513</v>
      </c>
      <c r="E45" s="101" t="s">
        <v>583</v>
      </c>
    </row>
    <row r="46" spans="1:14">
      <c r="A46" s="62" t="s">
        <v>693</v>
      </c>
      <c r="B46" s="9" t="s">
        <v>244</v>
      </c>
      <c r="C46" s="34" t="s">
        <v>585</v>
      </c>
      <c r="D46" s="55" t="s">
        <v>513</v>
      </c>
      <c r="E46" s="100" t="s">
        <v>243</v>
      </c>
    </row>
    <row r="47" spans="1:14">
      <c r="A47" s="62" t="s">
        <v>693</v>
      </c>
      <c r="B47" s="9" t="s">
        <v>259</v>
      </c>
      <c r="C47" s="34" t="s">
        <v>429</v>
      </c>
      <c r="D47" s="55" t="s">
        <v>513</v>
      </c>
      <c r="E47" s="100" t="s">
        <v>587</v>
      </c>
    </row>
    <row r="48" spans="1:14">
      <c r="A48" s="62" t="s">
        <v>693</v>
      </c>
      <c r="B48" s="9"/>
      <c r="C48" s="34" t="s">
        <v>424</v>
      </c>
      <c r="D48" s="55" t="s">
        <v>513</v>
      </c>
      <c r="E48" s="100" t="s">
        <v>321</v>
      </c>
    </row>
    <row r="49" spans="1:5">
      <c r="A49" s="62" t="s">
        <v>693</v>
      </c>
      <c r="B49" s="9" t="s">
        <v>94</v>
      </c>
      <c r="C49" s="34" t="s">
        <v>422</v>
      </c>
      <c r="D49" s="55" t="s">
        <v>513</v>
      </c>
      <c r="E49" s="100" t="s">
        <v>751</v>
      </c>
    </row>
    <row r="50" spans="1:5">
      <c r="A50" s="62" t="s">
        <v>693</v>
      </c>
      <c r="B50" s="9" t="s">
        <v>260</v>
      </c>
      <c r="C50" s="34" t="s">
        <v>592</v>
      </c>
      <c r="D50" s="55" t="s">
        <v>513</v>
      </c>
      <c r="E50" s="101" t="s">
        <v>593</v>
      </c>
    </row>
    <row r="51" spans="1:5">
      <c r="A51" s="62" t="s">
        <v>693</v>
      </c>
      <c r="B51" s="9" t="s">
        <v>186</v>
      </c>
      <c r="C51" s="34" t="s">
        <v>396</v>
      </c>
      <c r="D51" s="55" t="s">
        <v>513</v>
      </c>
      <c r="E51" s="100" t="s">
        <v>595</v>
      </c>
    </row>
    <row r="52" spans="1:5">
      <c r="A52" s="62" t="s">
        <v>693</v>
      </c>
      <c r="B52" s="9"/>
      <c r="C52" s="34" t="s">
        <v>427</v>
      </c>
      <c r="D52" s="55" t="s">
        <v>513</v>
      </c>
      <c r="E52" s="100" t="s">
        <v>752</v>
      </c>
    </row>
    <row r="53" spans="1:5">
      <c r="A53" s="62" t="s">
        <v>693</v>
      </c>
      <c r="B53" s="9"/>
      <c r="C53" s="34" t="s">
        <v>597</v>
      </c>
      <c r="D53" s="55" t="s">
        <v>513</v>
      </c>
      <c r="E53" s="100" t="s">
        <v>325</v>
      </c>
    </row>
    <row r="54" spans="1:5">
      <c r="A54" s="62" t="s">
        <v>693</v>
      </c>
      <c r="B54" s="9"/>
      <c r="C54" s="34" t="s">
        <v>599</v>
      </c>
      <c r="D54" s="55" t="s">
        <v>513</v>
      </c>
      <c r="E54" s="100" t="s">
        <v>679</v>
      </c>
    </row>
    <row r="55" spans="1:5">
      <c r="A55" s="62" t="s">
        <v>698</v>
      </c>
      <c r="B55" s="9" t="s">
        <v>128</v>
      </c>
      <c r="C55" s="34" t="s">
        <v>418</v>
      </c>
      <c r="D55" s="55" t="s">
        <v>504</v>
      </c>
      <c r="E55" s="100" t="s">
        <v>127</v>
      </c>
    </row>
    <row r="56" spans="1:5">
      <c r="A56" s="62" t="s">
        <v>698</v>
      </c>
      <c r="B56" s="9" t="s">
        <v>141</v>
      </c>
      <c r="C56" s="34" t="s">
        <v>603</v>
      </c>
      <c r="D56" s="55" t="s">
        <v>531</v>
      </c>
      <c r="E56" s="100" t="s">
        <v>604</v>
      </c>
    </row>
    <row r="57" spans="1:5">
      <c r="A57" s="62" t="s">
        <v>698</v>
      </c>
      <c r="B57" s="9" t="s">
        <v>147</v>
      </c>
      <c r="C57" s="34" t="s">
        <v>606</v>
      </c>
      <c r="D57" s="55" t="s">
        <v>531</v>
      </c>
      <c r="E57" s="100" t="s">
        <v>607</v>
      </c>
    </row>
    <row r="58" spans="1:5">
      <c r="A58" s="62" t="s">
        <v>698</v>
      </c>
      <c r="B58" s="9" t="s">
        <v>246</v>
      </c>
      <c r="C58" s="34" t="s">
        <v>609</v>
      </c>
      <c r="D58" s="55" t="s">
        <v>504</v>
      </c>
      <c r="E58" s="100" t="s">
        <v>245</v>
      </c>
    </row>
    <row r="59" spans="1:5">
      <c r="A59" s="62" t="s">
        <v>698</v>
      </c>
      <c r="B59" s="9" t="s">
        <v>124</v>
      </c>
      <c r="C59" s="34" t="s">
        <v>611</v>
      </c>
      <c r="D59" s="55" t="s">
        <v>504</v>
      </c>
      <c r="E59" s="100" t="s">
        <v>612</v>
      </c>
    </row>
    <row r="60" spans="1:5">
      <c r="A60" s="62" t="s">
        <v>698</v>
      </c>
      <c r="B60" s="9" t="s">
        <v>149</v>
      </c>
      <c r="C60" s="34" t="s">
        <v>614</v>
      </c>
      <c r="D60" s="55" t="s">
        <v>531</v>
      </c>
      <c r="E60" s="100" t="s">
        <v>615</v>
      </c>
    </row>
    <row r="61" spans="1:5">
      <c r="A61" s="62" t="s">
        <v>698</v>
      </c>
      <c r="B61" s="9" t="s">
        <v>234</v>
      </c>
      <c r="C61" s="34" t="s">
        <v>388</v>
      </c>
      <c r="D61" s="55" t="s">
        <v>504</v>
      </c>
      <c r="E61" s="100" t="s">
        <v>617</v>
      </c>
    </row>
    <row r="62" spans="1:5">
      <c r="A62" s="62" t="s">
        <v>698</v>
      </c>
      <c r="B62" s="9" t="s">
        <v>121</v>
      </c>
      <c r="C62" s="34" t="s">
        <v>753</v>
      </c>
      <c r="D62" s="55" t="s">
        <v>502</v>
      </c>
      <c r="E62" s="100" t="s">
        <v>754</v>
      </c>
    </row>
    <row r="63" spans="1:5">
      <c r="A63" s="62" t="s">
        <v>698</v>
      </c>
      <c r="B63" s="9" t="s">
        <v>121</v>
      </c>
      <c r="C63" s="34" t="s">
        <v>619</v>
      </c>
      <c r="D63" s="55" t="s">
        <v>499</v>
      </c>
      <c r="E63" s="100" t="s">
        <v>755</v>
      </c>
    </row>
    <row r="64" spans="1:5">
      <c r="A64" s="62" t="s">
        <v>698</v>
      </c>
      <c r="B64" s="9" t="s">
        <v>267</v>
      </c>
      <c r="C64" s="34" t="s">
        <v>621</v>
      </c>
      <c r="D64" s="55" t="s">
        <v>531</v>
      </c>
      <c r="E64" s="100" t="s">
        <v>266</v>
      </c>
    </row>
    <row r="65" spans="1:5">
      <c r="A65" s="62" t="s">
        <v>704</v>
      </c>
      <c r="B65" s="9" t="s">
        <v>273</v>
      </c>
      <c r="C65" s="34" t="s">
        <v>425</v>
      </c>
      <c r="D65" s="55" t="s">
        <v>516</v>
      </c>
      <c r="E65" s="100" t="s">
        <v>272</v>
      </c>
    </row>
    <row r="66" spans="1:5">
      <c r="A66" s="62" t="s">
        <v>704</v>
      </c>
      <c r="B66" s="9" t="s">
        <v>287</v>
      </c>
      <c r="C66" s="34" t="s">
        <v>624</v>
      </c>
      <c r="D66" s="59" t="s">
        <v>625</v>
      </c>
      <c r="E66" s="100" t="s">
        <v>626</v>
      </c>
    </row>
    <row r="67" spans="1:5">
      <c r="A67" s="62" t="s">
        <v>704</v>
      </c>
      <c r="B67" s="9" t="s">
        <v>152</v>
      </c>
      <c r="C67" s="34" t="s">
        <v>414</v>
      </c>
      <c r="D67" s="55" t="s">
        <v>628</v>
      </c>
      <c r="E67" s="100" t="s">
        <v>629</v>
      </c>
    </row>
    <row r="68" spans="1:5">
      <c r="A68" s="62" t="s">
        <v>704</v>
      </c>
      <c r="B68" s="9" t="s">
        <v>212</v>
      </c>
      <c r="C68" s="34" t="s">
        <v>415</v>
      </c>
      <c r="D68" s="55" t="s">
        <v>631</v>
      </c>
      <c r="E68" s="100" t="s">
        <v>632</v>
      </c>
    </row>
    <row r="69" spans="1:5">
      <c r="A69" s="62" t="s">
        <v>704</v>
      </c>
      <c r="B69" s="9"/>
      <c r="C69" s="34" t="s">
        <v>634</v>
      </c>
      <c r="D69" s="55" t="s">
        <v>635</v>
      </c>
      <c r="E69" s="100" t="s">
        <v>327</v>
      </c>
    </row>
    <row r="70" spans="1:5">
      <c r="A70" s="62" t="s">
        <v>707</v>
      </c>
      <c r="B70" s="9"/>
      <c r="C70" s="34" t="s">
        <v>637</v>
      </c>
      <c r="D70" s="55" t="s">
        <v>638</v>
      </c>
      <c r="E70" s="100" t="s">
        <v>315</v>
      </c>
    </row>
    <row r="71" spans="1:5">
      <c r="A71" s="62" t="s">
        <v>707</v>
      </c>
      <c r="B71" s="9"/>
      <c r="C71" s="34" t="s">
        <v>640</v>
      </c>
      <c r="D71" s="55" t="s">
        <v>641</v>
      </c>
      <c r="E71" s="100" t="s">
        <v>317</v>
      </c>
    </row>
    <row r="72" spans="1:5">
      <c r="A72" s="522" t="s">
        <v>707</v>
      </c>
      <c r="B72" s="523" t="s">
        <v>271</v>
      </c>
      <c r="C72" s="524" t="s">
        <v>643</v>
      </c>
      <c r="D72" s="173" t="s">
        <v>644</v>
      </c>
      <c r="E72" s="250" t="s">
        <v>756</v>
      </c>
    </row>
    <row r="73" spans="1:5">
      <c r="A73" s="62" t="s">
        <v>698</v>
      </c>
      <c r="B73" s="9"/>
      <c r="C73" s="34" t="s">
        <v>647</v>
      </c>
      <c r="D73" s="55" t="s">
        <v>648</v>
      </c>
      <c r="E73" s="100" t="s">
        <v>330</v>
      </c>
    </row>
    <row r="74" spans="1:5">
      <c r="A74" s="62" t="s">
        <v>704</v>
      </c>
      <c r="B74" s="9"/>
      <c r="C74" s="34" t="s">
        <v>650</v>
      </c>
      <c r="D74" s="55" t="s">
        <v>651</v>
      </c>
      <c r="E74" s="100" t="s">
        <v>652</v>
      </c>
    </row>
    <row r="75" spans="1:5">
      <c r="A75" s="62" t="s">
        <v>698</v>
      </c>
      <c r="B75" s="9"/>
      <c r="C75" s="34" t="s">
        <v>757</v>
      </c>
      <c r="D75" s="55" t="s">
        <v>710</v>
      </c>
      <c r="E75" s="103" t="s">
        <v>758</v>
      </c>
    </row>
    <row r="76" spans="1:5">
      <c r="A76" s="62" t="s">
        <v>704</v>
      </c>
      <c r="B76" s="9"/>
      <c r="C76" s="34" t="s">
        <v>654</v>
      </c>
      <c r="D76" s="55" t="s">
        <v>516</v>
      </c>
      <c r="E76" s="103" t="s">
        <v>655</v>
      </c>
    </row>
    <row r="77" spans="1:5" ht="15" customHeight="1">
      <c r="A77" s="62" t="s">
        <v>704</v>
      </c>
      <c r="B77" s="9"/>
      <c r="C77" s="34" t="s">
        <v>428</v>
      </c>
      <c r="D77" s="55" t="s">
        <v>516</v>
      </c>
      <c r="E77" s="103" t="s">
        <v>658</v>
      </c>
    </row>
    <row r="78" spans="1:5" ht="15" customHeight="1">
      <c r="A78" s="62" t="s">
        <v>704</v>
      </c>
      <c r="B78" s="9" t="s">
        <v>85</v>
      </c>
      <c r="C78" s="34" t="s">
        <v>660</v>
      </c>
      <c r="D78" s="55" t="s">
        <v>525</v>
      </c>
      <c r="E78" s="103" t="s">
        <v>84</v>
      </c>
    </row>
    <row r="79" spans="1:5" ht="15" customHeight="1">
      <c r="A79" s="62" t="s">
        <v>693</v>
      </c>
      <c r="B79" s="9"/>
      <c r="C79" s="34" t="s">
        <v>662</v>
      </c>
      <c r="D79" s="55" t="s">
        <v>513</v>
      </c>
      <c r="E79" s="103" t="s">
        <v>663</v>
      </c>
    </row>
    <row r="80" spans="1:5" ht="15" customHeight="1">
      <c r="A80" s="62" t="s">
        <v>692</v>
      </c>
      <c r="B80" s="9"/>
      <c r="C80" s="34" t="s">
        <v>665</v>
      </c>
      <c r="D80" s="55" t="s">
        <v>510</v>
      </c>
      <c r="E80" s="103" t="s">
        <v>666</v>
      </c>
    </row>
    <row r="81" spans="1:5" ht="15" customHeight="1">
      <c r="A81" s="62" t="s">
        <v>693</v>
      </c>
      <c r="B81" s="9" t="s">
        <v>257</v>
      </c>
      <c r="C81" s="9" t="s">
        <v>419</v>
      </c>
      <c r="D81" s="55" t="s">
        <v>513</v>
      </c>
      <c r="E81" s="78" t="s">
        <v>256</v>
      </c>
    </row>
    <row r="82" spans="1:5">
      <c r="A82" s="62" t="s">
        <v>693</v>
      </c>
      <c r="B82" s="9"/>
      <c r="C82" s="34" t="s">
        <v>669</v>
      </c>
      <c r="D82" s="55" t="s">
        <v>513</v>
      </c>
      <c r="E82" s="103" t="s">
        <v>670</v>
      </c>
    </row>
    <row r="83" spans="1:5">
      <c r="A83" s="62" t="s">
        <v>698</v>
      </c>
      <c r="B83" s="9"/>
      <c r="C83" s="34" t="s">
        <v>672</v>
      </c>
      <c r="D83" s="55" t="s">
        <v>531</v>
      </c>
      <c r="E83" s="103" t="s">
        <v>759</v>
      </c>
    </row>
    <row r="84" spans="1:5">
      <c r="A84" s="522"/>
      <c r="B84" s="523"/>
      <c r="C84" s="524" t="s">
        <v>760</v>
      </c>
      <c r="D84" s="173" t="s">
        <v>644</v>
      </c>
      <c r="E84" s="525" t="s">
        <v>761</v>
      </c>
    </row>
    <row r="85" spans="1:5">
      <c r="A85" s="522"/>
      <c r="B85" s="523"/>
      <c r="C85" s="524" t="s">
        <v>762</v>
      </c>
      <c r="D85" s="173" t="s">
        <v>644</v>
      </c>
      <c r="E85" s="525" t="s">
        <v>763</v>
      </c>
    </row>
    <row r="86" spans="1:5">
      <c r="A86" s="522"/>
      <c r="B86" s="523"/>
      <c r="C86" s="524" t="s">
        <v>764</v>
      </c>
      <c r="D86" s="173" t="s">
        <v>644</v>
      </c>
      <c r="E86" s="525" t="s">
        <v>765</v>
      </c>
    </row>
    <row r="87" spans="1:5">
      <c r="A87" s="522"/>
      <c r="B87" s="523"/>
      <c r="C87" s="524" t="s">
        <v>766</v>
      </c>
      <c r="D87" s="173" t="s">
        <v>644</v>
      </c>
      <c r="E87" s="525" t="s">
        <v>767</v>
      </c>
    </row>
    <row r="88" spans="1:5">
      <c r="A88" s="522"/>
      <c r="B88" s="523"/>
      <c r="C88" s="524" t="s">
        <v>768</v>
      </c>
      <c r="D88" s="173" t="s">
        <v>644</v>
      </c>
      <c r="E88" s="525" t="s">
        <v>769</v>
      </c>
    </row>
    <row r="89" spans="1:5">
      <c r="A89" s="522"/>
      <c r="B89" s="523"/>
      <c r="C89" s="524" t="s">
        <v>770</v>
      </c>
      <c r="D89" s="173" t="s">
        <v>644</v>
      </c>
      <c r="E89" s="525" t="s">
        <v>771</v>
      </c>
    </row>
    <row r="90" spans="1:5">
      <c r="A90" s="522"/>
      <c r="B90" s="523"/>
      <c r="C90" s="524" t="s">
        <v>772</v>
      </c>
      <c r="D90" s="173" t="s">
        <v>644</v>
      </c>
      <c r="E90" s="525" t="s">
        <v>773</v>
      </c>
    </row>
    <row r="91" spans="1:5">
      <c r="A91" s="522"/>
      <c r="B91" s="523"/>
      <c r="C91" s="524" t="s">
        <v>774</v>
      </c>
      <c r="D91" s="173" t="s">
        <v>644</v>
      </c>
      <c r="E91" s="525" t="s">
        <v>775</v>
      </c>
    </row>
    <row r="92" spans="1:5">
      <c r="A92" s="522"/>
      <c r="B92" s="523"/>
      <c r="C92" s="524" t="s">
        <v>776</v>
      </c>
      <c r="D92" s="173" t="s">
        <v>644</v>
      </c>
      <c r="E92" s="525" t="s">
        <v>777</v>
      </c>
    </row>
    <row r="93" spans="1:5">
      <c r="A93" s="522"/>
      <c r="B93" s="523"/>
      <c r="C93" s="524" t="s">
        <v>778</v>
      </c>
      <c r="D93" s="173" t="s">
        <v>644</v>
      </c>
      <c r="E93" s="525" t="s">
        <v>779</v>
      </c>
    </row>
    <row r="94" spans="1:5">
      <c r="A94" s="62"/>
      <c r="B94" s="9"/>
      <c r="C94" s="34" t="s">
        <v>780</v>
      </c>
      <c r="D94" s="55" t="s">
        <v>510</v>
      </c>
      <c r="E94" s="78" t="s">
        <v>781</v>
      </c>
    </row>
    <row r="95" spans="1:5">
      <c r="A95" s="62"/>
      <c r="B95" s="9"/>
      <c r="C95" s="34"/>
      <c r="D95" s="55"/>
      <c r="E95" s="103"/>
    </row>
    <row r="96" spans="1:5">
      <c r="A96" s="62"/>
      <c r="B96" s="9"/>
      <c r="C96" s="34"/>
      <c r="D96" s="55"/>
      <c r="E96" s="103"/>
    </row>
    <row r="97" spans="1:5">
      <c r="A97" s="62"/>
      <c r="B97" s="9"/>
      <c r="C97" s="34"/>
      <c r="D97" s="55"/>
      <c r="E97" s="103"/>
    </row>
    <row r="98" spans="1:5">
      <c r="A98" s="62"/>
      <c r="B98" s="9"/>
      <c r="C98" s="34"/>
      <c r="D98" s="55"/>
      <c r="E98" s="103"/>
    </row>
    <row r="99" spans="1:5" s="63" customFormat="1"/>
    <row r="100" spans="1:5">
      <c r="E100" s="75"/>
    </row>
  </sheetData>
  <sheetProtection algorithmName="SHA-512" hashValue="9BMSljT+VApnJW/NzrqHY2duWUQISBCWDqve+S9NoPnY9quqH+LWYYINK4cDs2SA5kgtGPk/gs9qHJ1AptKueQ==" saltValue="tV6Icvv+kBmJrsv0Rt8CJw==" spinCount="100000" sheet="1" autoFilter="0"/>
  <autoFilter ref="A4:E98" xr:uid="{300532DF-1919-2B44-B1E1-55467590F301}"/>
  <mergeCells count="1">
    <mergeCell ref="A2:E2"/>
  </mergeCells>
  <phoneticPr fontId="6" type="noConversion"/>
  <conditionalFormatting sqref="D19:D21 D22:E24 D25:D26 D27:E29 D30 D31:E39 F36:G39 D40:D43 D44:E46 E47 E50:E60 D61:E61 E62:E64 D65:E74 D75:D80 D82:D98">
    <cfRule type="expression" dxfId="169" priority="20">
      <formula>#REF!="CLOSED"</formula>
    </cfRule>
  </conditionalFormatting>
  <conditionalFormatting sqref="D33">
    <cfRule type="expression" dxfId="168" priority="13">
      <formula>#REF!="CLOSED"</formula>
    </cfRule>
  </conditionalFormatting>
  <conditionalFormatting sqref="E84:E88">
    <cfRule type="expression" dxfId="167" priority="1">
      <formula>$C84="CLOSED"</formula>
    </cfRule>
  </conditionalFormatting>
  <conditionalFormatting sqref="E100">
    <cfRule type="expression" dxfId="166" priority="3">
      <formula>#REF!="CLOSED"</formula>
    </cfRule>
  </conditionalFormatting>
  <dataValidations count="2">
    <dataValidation allowBlank="1" showInputMessage="1" showErrorMessage="1" sqref="D19:D80 D82:D98" xr:uid="{93F76E64-9DF4-7E4A-B79A-0821FED43C55}"/>
    <dataValidation type="list" allowBlank="1" showInputMessage="1" showErrorMessage="1" sqref="D61 D19:D46 D63 D65:D80 D82:D98" xr:uid="{625C2867-B08F-A647-BFAE-A802A30AE4BD}">
      <formula1>#REF!</formula1>
    </dataValidation>
  </dataValidations>
  <pageMargins left="0.7" right="0.7" top="0.75" bottom="0.75" header="0.3" footer="0.3"/>
  <pageSetup paperSize="9" scale="36" orientation="landscape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DA2C-80A6-7E4A-9D52-F236BE92F788}">
  <dimension ref="A1:L294"/>
  <sheetViews>
    <sheetView showGridLines="0" tabSelected="1" workbookViewId="0">
      <selection activeCell="D299" sqref="D299"/>
    </sheetView>
  </sheetViews>
  <sheetFormatPr defaultColWidth="11.3984375" defaultRowHeight="13.8"/>
  <cols>
    <col min="1" max="1" width="5" style="258" bestFit="1" customWidth="1"/>
    <col min="2" max="2" width="6" style="258" bestFit="1" customWidth="1"/>
    <col min="3" max="3" width="14.69921875" style="258" bestFit="1" customWidth="1"/>
    <col min="4" max="4" width="82.3984375" style="258" bestFit="1" customWidth="1"/>
    <col min="5" max="5" width="23.3984375" style="288" bestFit="1" customWidth="1"/>
    <col min="6" max="6" width="14.69921875" style="258" bestFit="1" customWidth="1"/>
    <col min="7" max="7" width="8.69921875" style="258" bestFit="1" customWidth="1"/>
    <col min="8" max="8" width="17" style="289" bestFit="1" customWidth="1"/>
    <col min="9" max="9" width="11.3984375" style="258" bestFit="1" customWidth="1"/>
    <col min="10" max="10" width="28.69921875" style="258" bestFit="1" customWidth="1"/>
    <col min="11" max="11" width="13.3984375" style="258" bestFit="1" customWidth="1"/>
    <col min="12" max="12" width="8.69921875" style="258" bestFit="1" customWidth="1"/>
    <col min="13" max="16384" width="11.3984375" style="258"/>
  </cols>
  <sheetData>
    <row r="1" spans="1:12">
      <c r="A1" s="287"/>
    </row>
    <row r="2" spans="1:12">
      <c r="B2" s="297" t="s">
        <v>362</v>
      </c>
      <c r="C2" s="298" t="s">
        <v>363</v>
      </c>
      <c r="D2" s="298" t="s">
        <v>364</v>
      </c>
      <c r="E2" s="300" t="s">
        <v>365</v>
      </c>
      <c r="F2" s="298" t="s">
        <v>366</v>
      </c>
      <c r="G2" s="298" t="s">
        <v>367</v>
      </c>
      <c r="H2" s="298" t="s">
        <v>368</v>
      </c>
      <c r="I2" s="298" t="s">
        <v>369</v>
      </c>
      <c r="J2" s="298" t="s">
        <v>370</v>
      </c>
      <c r="K2" s="299" t="s">
        <v>371</v>
      </c>
      <c r="L2" s="323" t="s">
        <v>372</v>
      </c>
    </row>
    <row r="3" spans="1:12" ht="14.4" hidden="1">
      <c r="A3" s="304"/>
      <c r="B3" s="290">
        <v>0</v>
      </c>
      <c r="C3" s="290" t="s">
        <v>373</v>
      </c>
      <c r="D3" s="290" t="e">
        <f ca="1">_xlfn.XLOOKUP(C3,'KODE PROJECT BARU'!$C$5:$C$98,'KODE PROJECT BARU'!$E$5:$E$98,"N/A",0,1)</f>
        <v>#NAME?</v>
      </c>
      <c r="E3" s="301" t="s">
        <v>374</v>
      </c>
      <c r="F3" s="290" t="s">
        <v>350</v>
      </c>
      <c r="G3" s="290" t="s">
        <v>375</v>
      </c>
      <c r="H3" s="291">
        <v>1000</v>
      </c>
      <c r="I3" s="290" t="s">
        <v>357</v>
      </c>
      <c r="J3" s="290" t="s">
        <v>376</v>
      </c>
      <c r="K3" s="290"/>
      <c r="L3" s="322"/>
    </row>
    <row r="4" spans="1:12" ht="14.4" hidden="1">
      <c r="A4" s="287"/>
      <c r="B4" s="292"/>
      <c r="C4" s="260"/>
      <c r="D4" s="293"/>
      <c r="E4" s="302"/>
      <c r="F4" s="292"/>
      <c r="G4" s="292"/>
      <c r="H4" s="294"/>
      <c r="I4" s="292"/>
      <c r="J4" s="292"/>
      <c r="K4" s="292"/>
      <c r="L4" s="292"/>
    </row>
    <row r="5" spans="1:12" ht="14.4" hidden="1">
      <c r="A5" s="287"/>
      <c r="B5" s="292"/>
      <c r="C5" s="260"/>
      <c r="D5" s="293"/>
      <c r="E5" s="302"/>
      <c r="F5" s="292"/>
      <c r="G5" s="292"/>
      <c r="H5" s="294"/>
      <c r="I5" s="292"/>
      <c r="J5" s="292"/>
      <c r="K5" s="292"/>
      <c r="L5" s="292"/>
    </row>
    <row r="6" spans="1:12" ht="14.4">
      <c r="A6" s="287"/>
      <c r="B6" s="292"/>
      <c r="C6" s="292" t="s">
        <v>377</v>
      </c>
      <c r="D6" s="293" t="e">
        <f ca="1">_xlfn.XLOOKUP(C6,'KODE PROJECT BARU'!$C$5:$C$98,'KODE PROJECT BARU'!$E$5:$E$98,"N/A",0,1)</f>
        <v>#NAME?</v>
      </c>
      <c r="E6" s="302" t="s">
        <v>378</v>
      </c>
      <c r="F6" s="292" t="s">
        <v>350</v>
      </c>
      <c r="G6" s="292" t="s">
        <v>379</v>
      </c>
      <c r="H6" s="295">
        <v>3117000</v>
      </c>
      <c r="I6" s="292" t="s">
        <v>380</v>
      </c>
      <c r="J6" s="292" t="str">
        <f t="shared" ref="J6" si="0">UPPER(J3)</f>
        <v>PT PERSONEL ALIH DAYA</v>
      </c>
      <c r="K6" s="292"/>
      <c r="L6" s="292">
        <v>2026</v>
      </c>
    </row>
    <row r="7" spans="1:12" ht="14.4">
      <c r="A7" s="287"/>
      <c r="B7" s="292"/>
      <c r="C7" s="292" t="s">
        <v>377</v>
      </c>
      <c r="D7" s="293" t="e">
        <f ca="1">_xlfn.XLOOKUP(C7,'KODE PROJECT BARU'!$C$5:$C$98,'KODE PROJECT BARU'!$E$5:$E$98,"N/A",0,1)</f>
        <v>#NAME?</v>
      </c>
      <c r="E7" s="302" t="s">
        <v>378</v>
      </c>
      <c r="F7" s="292" t="s">
        <v>350</v>
      </c>
      <c r="G7" s="292" t="s">
        <v>379</v>
      </c>
      <c r="H7" s="295">
        <v>3117000</v>
      </c>
      <c r="I7" s="292" t="s">
        <v>359</v>
      </c>
      <c r="J7" s="292" t="s">
        <v>381</v>
      </c>
      <c r="K7" s="292"/>
      <c r="L7" s="292">
        <v>2026</v>
      </c>
    </row>
    <row r="8" spans="1:12" ht="14.4">
      <c r="A8" s="287"/>
      <c r="B8" s="292"/>
      <c r="C8" s="292" t="s">
        <v>377</v>
      </c>
      <c r="D8" s="293" t="e">
        <f ca="1">_xlfn.XLOOKUP(C8,'KODE PROJECT BARU'!$C$5:$C$98,'KODE PROJECT BARU'!$E$5:$E$98,"N/A",0,1)</f>
        <v>#NAME?</v>
      </c>
      <c r="E8" s="302" t="s">
        <v>378</v>
      </c>
      <c r="F8" s="292" t="s">
        <v>350</v>
      </c>
      <c r="G8" s="292" t="s">
        <v>379</v>
      </c>
      <c r="H8" s="295">
        <v>3117000</v>
      </c>
      <c r="I8" s="292" t="s">
        <v>361</v>
      </c>
      <c r="J8" s="292" t="s">
        <v>381</v>
      </c>
      <c r="K8" s="292"/>
      <c r="L8" s="292">
        <v>2026</v>
      </c>
    </row>
    <row r="9" spans="1:12" ht="14.4">
      <c r="A9" s="287"/>
      <c r="B9" s="292"/>
      <c r="C9" s="292" t="s">
        <v>377</v>
      </c>
      <c r="D9" s="293" t="e">
        <f ca="1">_xlfn.XLOOKUP(C9,'KODE PROJECT BARU'!$C$5:$C$98,'KODE PROJECT BARU'!$E$5:$E$98,"N/A",0,1)</f>
        <v>#NAME?</v>
      </c>
      <c r="E9" s="302" t="s">
        <v>382</v>
      </c>
      <c r="F9" s="292" t="s">
        <v>350</v>
      </c>
      <c r="G9" s="292" t="s">
        <v>379</v>
      </c>
      <c r="H9" s="295">
        <v>27622955</v>
      </c>
      <c r="I9" s="292" t="s">
        <v>380</v>
      </c>
      <c r="J9" s="292" t="s">
        <v>381</v>
      </c>
      <c r="K9" s="292"/>
      <c r="L9" s="292">
        <v>2026</v>
      </c>
    </row>
    <row r="10" spans="1:12" ht="14.4">
      <c r="A10" s="287"/>
      <c r="B10" s="292"/>
      <c r="C10" s="292" t="s">
        <v>377</v>
      </c>
      <c r="D10" s="293" t="e">
        <f ca="1">_xlfn.XLOOKUP(C10,'KODE PROJECT BARU'!$C$5:$C$98,'KODE PROJECT BARU'!$E$5:$E$98,"N/A",0,1)</f>
        <v>#NAME?</v>
      </c>
      <c r="E10" s="302" t="s">
        <v>382</v>
      </c>
      <c r="F10" s="292" t="s">
        <v>350</v>
      </c>
      <c r="G10" s="292" t="s">
        <v>379</v>
      </c>
      <c r="H10" s="295">
        <v>27622955</v>
      </c>
      <c r="I10" s="292" t="s">
        <v>357</v>
      </c>
      <c r="J10" s="292" t="s">
        <v>381</v>
      </c>
      <c r="K10" s="292"/>
      <c r="L10" s="292">
        <v>2026</v>
      </c>
    </row>
    <row r="11" spans="1:12" ht="14.4">
      <c r="A11" s="287"/>
      <c r="B11" s="292"/>
      <c r="C11" s="292" t="s">
        <v>377</v>
      </c>
      <c r="D11" s="293" t="e">
        <f ca="1">_xlfn.XLOOKUP(C11,'KODE PROJECT BARU'!$C$5:$C$98,'KODE PROJECT BARU'!$E$5:$E$98,"N/A",0,1)</f>
        <v>#NAME?</v>
      </c>
      <c r="E11" s="302" t="s">
        <v>382</v>
      </c>
      <c r="F11" s="292" t="s">
        <v>350</v>
      </c>
      <c r="G11" s="292" t="s">
        <v>379</v>
      </c>
      <c r="H11" s="295">
        <v>27622955</v>
      </c>
      <c r="I11" s="292" t="s">
        <v>358</v>
      </c>
      <c r="J11" s="292" t="s">
        <v>381</v>
      </c>
      <c r="K11" s="292"/>
      <c r="L11" s="292">
        <v>2026</v>
      </c>
    </row>
    <row r="12" spans="1:12" ht="14.4">
      <c r="A12" s="287"/>
      <c r="B12" s="292"/>
      <c r="C12" s="292" t="s">
        <v>377</v>
      </c>
      <c r="D12" s="293" t="e">
        <f ca="1">_xlfn.XLOOKUP(C12,'KODE PROJECT BARU'!$C$5:$C$98,'KODE PROJECT BARU'!$E$5:$E$98,"N/A",0,1)</f>
        <v>#NAME?</v>
      </c>
      <c r="E12" s="302" t="s">
        <v>382</v>
      </c>
      <c r="F12" s="292" t="s">
        <v>350</v>
      </c>
      <c r="G12" s="292" t="s">
        <v>379</v>
      </c>
      <c r="H12" s="295">
        <v>27622955</v>
      </c>
      <c r="I12" s="292" t="s">
        <v>359</v>
      </c>
      <c r="J12" s="292" t="s">
        <v>381</v>
      </c>
      <c r="K12" s="292"/>
      <c r="L12" s="292">
        <v>2026</v>
      </c>
    </row>
    <row r="13" spans="1:12" ht="14.4">
      <c r="A13" s="287"/>
      <c r="B13" s="292"/>
      <c r="C13" s="292" t="s">
        <v>377</v>
      </c>
      <c r="D13" s="293" t="e">
        <f ca="1">_xlfn.XLOOKUP(C13,'KODE PROJECT BARU'!$C$5:$C$98,'KODE PROJECT BARU'!$E$5:$E$98,"N/A",0,1)</f>
        <v>#NAME?</v>
      </c>
      <c r="E13" s="302" t="s">
        <v>382</v>
      </c>
      <c r="F13" s="292" t="s">
        <v>350</v>
      </c>
      <c r="G13" s="292" t="s">
        <v>379</v>
      </c>
      <c r="H13" s="295">
        <v>27622955</v>
      </c>
      <c r="I13" s="292" t="s">
        <v>360</v>
      </c>
      <c r="J13" s="292" t="s">
        <v>381</v>
      </c>
      <c r="K13" s="292"/>
      <c r="L13" s="292">
        <v>2026</v>
      </c>
    </row>
    <row r="14" spans="1:12" ht="14.4">
      <c r="A14" s="287"/>
      <c r="B14" s="292"/>
      <c r="C14" s="260" t="s">
        <v>377</v>
      </c>
      <c r="D14" s="293" t="e">
        <f ca="1">_xlfn.XLOOKUP(C14,'KODE PROJECT BARU'!$C$5:$C$98,'KODE PROJECT BARU'!$E$5:$E$98,"N/A",0,1)</f>
        <v>#NAME?</v>
      </c>
      <c r="E14" s="302" t="s">
        <v>382</v>
      </c>
      <c r="F14" s="260" t="s">
        <v>350</v>
      </c>
      <c r="G14" s="260" t="s">
        <v>379</v>
      </c>
      <c r="H14" s="295">
        <v>27622955</v>
      </c>
      <c r="I14" s="292" t="s">
        <v>361</v>
      </c>
      <c r="J14" s="292" t="s">
        <v>381</v>
      </c>
      <c r="K14" s="292"/>
      <c r="L14" s="292">
        <v>2026</v>
      </c>
    </row>
    <row r="15" spans="1:12" ht="14.4">
      <c r="A15" s="287"/>
      <c r="B15" s="292"/>
      <c r="C15" s="260" t="s">
        <v>377</v>
      </c>
      <c r="D15" s="293" t="e">
        <f ca="1">_xlfn.XLOOKUP(C15,'KODE PROJECT BARU'!$C$5:$C$98,'KODE PROJECT BARU'!$E$5:$E$98,"N/A",0,1)</f>
        <v>#NAME?</v>
      </c>
      <c r="E15" s="302" t="s">
        <v>383</v>
      </c>
      <c r="F15" s="260" t="s">
        <v>350</v>
      </c>
      <c r="G15" s="260" t="s">
        <v>379</v>
      </c>
      <c r="H15" s="295">
        <v>2168861</v>
      </c>
      <c r="I15" s="292" t="s">
        <v>361</v>
      </c>
      <c r="J15" s="292" t="s">
        <v>381</v>
      </c>
      <c r="K15" s="292"/>
      <c r="L15" s="292">
        <v>2026</v>
      </c>
    </row>
    <row r="16" spans="1:12" ht="14.4">
      <c r="A16" s="287"/>
      <c r="B16" s="292"/>
      <c r="C16" s="260" t="s">
        <v>377</v>
      </c>
      <c r="D16" s="293" t="e">
        <f ca="1">_xlfn.XLOOKUP(C16,'KODE PROJECT BARU'!$C$5:$C$98,'KODE PROJECT BARU'!$E$5:$E$98,"N/A",0,1)</f>
        <v>#NAME?</v>
      </c>
      <c r="E16" s="302" t="s">
        <v>384</v>
      </c>
      <c r="F16" s="260" t="s">
        <v>350</v>
      </c>
      <c r="G16" s="260" t="s">
        <v>379</v>
      </c>
      <c r="H16" s="295">
        <v>12149698</v>
      </c>
      <c r="I16" s="292" t="s">
        <v>361</v>
      </c>
      <c r="J16" s="292" t="s">
        <v>381</v>
      </c>
      <c r="K16" s="292"/>
      <c r="L16" s="292">
        <v>2026</v>
      </c>
    </row>
    <row r="17" spans="1:12" ht="14.4">
      <c r="A17" s="287"/>
      <c r="B17" s="296"/>
      <c r="C17" s="260" t="s">
        <v>377</v>
      </c>
      <c r="D17" s="293" t="e">
        <f ca="1">_xlfn.XLOOKUP(C17,'KODE PROJECT BARU'!$C$5:$C$98,'KODE PROJECT BARU'!$E$5:$E$98,"N/A",0,1)</f>
        <v>#NAME?</v>
      </c>
      <c r="E17" s="296" t="s">
        <v>385</v>
      </c>
      <c r="F17" s="260" t="s">
        <v>350</v>
      </c>
      <c r="G17" s="260" t="s">
        <v>379</v>
      </c>
      <c r="H17" s="295">
        <v>4119200</v>
      </c>
      <c r="I17" s="292" t="s">
        <v>361</v>
      </c>
      <c r="J17" s="292" t="s">
        <v>381</v>
      </c>
      <c r="K17" s="292"/>
      <c r="L17" s="292">
        <v>2026</v>
      </c>
    </row>
    <row r="18" spans="1:12" ht="14.4">
      <c r="A18" s="287"/>
      <c r="B18" s="292"/>
      <c r="C18" s="260" t="s">
        <v>377</v>
      </c>
      <c r="D18" s="293" t="e">
        <f ca="1">_xlfn.XLOOKUP(C18,'KODE PROJECT BARU'!$C$5:$C$98,'KODE PROJECT BARU'!$E$5:$E$98,"N/A",0,1)</f>
        <v>#NAME?</v>
      </c>
      <c r="E18" s="302" t="s">
        <v>386</v>
      </c>
      <c r="F18" s="260" t="s">
        <v>350</v>
      </c>
      <c r="G18" s="260" t="s">
        <v>379</v>
      </c>
      <c r="H18" s="295">
        <v>248988231</v>
      </c>
      <c r="I18" s="292" t="s">
        <v>361</v>
      </c>
      <c r="J18" s="292" t="s">
        <v>381</v>
      </c>
      <c r="K18" s="292"/>
      <c r="L18" s="292">
        <v>2026</v>
      </c>
    </row>
    <row r="19" spans="1:12" ht="14.4">
      <c r="A19" s="287"/>
      <c r="B19" s="292"/>
      <c r="C19" s="260" t="s">
        <v>377</v>
      </c>
      <c r="D19" s="293" t="e">
        <f ca="1">_xlfn.XLOOKUP(C19,'KODE PROJECT BARU'!$C$5:$C$98,'KODE PROJECT BARU'!$E$5:$E$98,"N/A",0,1)</f>
        <v>#NAME?</v>
      </c>
      <c r="E19" s="302" t="s">
        <v>387</v>
      </c>
      <c r="F19" s="260" t="s">
        <v>350</v>
      </c>
      <c r="G19" s="260" t="s">
        <v>379</v>
      </c>
      <c r="H19" s="295">
        <v>19866724</v>
      </c>
      <c r="I19" s="292" t="s">
        <v>361</v>
      </c>
      <c r="J19" s="292" t="s">
        <v>381</v>
      </c>
      <c r="K19" s="292"/>
      <c r="L19" s="292">
        <v>2026</v>
      </c>
    </row>
    <row r="20" spans="1:12" ht="14.4" hidden="1">
      <c r="A20" s="287"/>
      <c r="B20" s="292"/>
      <c r="C20" s="260" t="s">
        <v>388</v>
      </c>
      <c r="D20" s="293" t="e">
        <f ca="1">_xlfn.XLOOKUP(C20,'KODE PROJECT BARU'!$C$5:$C$98,'KODE PROJECT BARU'!$E$5:$E$98,"N/A",0,1)</f>
        <v>#NAME?</v>
      </c>
      <c r="E20" s="302" t="s">
        <v>389</v>
      </c>
      <c r="F20" s="292" t="s">
        <v>352</v>
      </c>
      <c r="G20" s="292" t="s">
        <v>390</v>
      </c>
      <c r="H20" s="295">
        <v>27500000</v>
      </c>
      <c r="I20" s="292" t="s">
        <v>361</v>
      </c>
      <c r="J20" s="292" t="s">
        <v>391</v>
      </c>
      <c r="K20" s="292"/>
      <c r="L20" s="292">
        <v>2026</v>
      </c>
    </row>
    <row r="21" spans="1:12" ht="14.4" hidden="1">
      <c r="A21" s="287"/>
      <c r="B21" s="292"/>
      <c r="C21" s="260" t="s">
        <v>388</v>
      </c>
      <c r="D21" s="293" t="e">
        <f ca="1">_xlfn.XLOOKUP(C21,'KODE PROJECT BARU'!$C$5:$C$98,'KODE PROJECT BARU'!$E$5:$E$98,"N/A",0,1)</f>
        <v>#NAME?</v>
      </c>
      <c r="E21" s="302" t="s">
        <v>392</v>
      </c>
      <c r="F21" s="292" t="s">
        <v>352</v>
      </c>
      <c r="G21" s="292" t="s">
        <v>390</v>
      </c>
      <c r="H21" s="295">
        <v>27500000</v>
      </c>
      <c r="I21" s="292" t="s">
        <v>361</v>
      </c>
      <c r="J21" s="292" t="s">
        <v>391</v>
      </c>
      <c r="K21" s="292"/>
      <c r="L21" s="292">
        <v>2026</v>
      </c>
    </row>
    <row r="22" spans="1:12" ht="14.4" hidden="1">
      <c r="A22" s="287"/>
      <c r="B22" s="292"/>
      <c r="C22" s="260" t="s">
        <v>388</v>
      </c>
      <c r="D22" s="293" t="e">
        <f ca="1">_xlfn.XLOOKUP(C22,'KODE PROJECT BARU'!$C$5:$C$98,'KODE PROJECT BARU'!$E$5:$E$98,"N/A",0,1)</f>
        <v>#NAME?</v>
      </c>
      <c r="E22" s="302" t="s">
        <v>393</v>
      </c>
      <c r="F22" s="292" t="s">
        <v>352</v>
      </c>
      <c r="G22" s="292" t="s">
        <v>390</v>
      </c>
      <c r="H22" s="295">
        <f>360000000/3</f>
        <v>120000000</v>
      </c>
      <c r="I22" s="292" t="s">
        <v>361</v>
      </c>
      <c r="J22" s="292" t="s">
        <v>394</v>
      </c>
      <c r="K22" s="292"/>
      <c r="L22" s="292">
        <v>2026</v>
      </c>
    </row>
    <row r="23" spans="1:12" ht="14.4" hidden="1">
      <c r="B23" s="292"/>
      <c r="C23" s="260" t="s">
        <v>388</v>
      </c>
      <c r="D23" s="293" t="e">
        <f ca="1">_xlfn.XLOOKUP(C23,'KODE PROJECT BARU'!$C$5:$C$98,'KODE PROJECT BARU'!$E$5:$E$98,"N/A",0,1)</f>
        <v>#NAME?</v>
      </c>
      <c r="E23" s="296" t="s">
        <v>395</v>
      </c>
      <c r="F23" s="296" t="s">
        <v>352</v>
      </c>
      <c r="G23" s="292" t="s">
        <v>390</v>
      </c>
      <c r="H23" s="295">
        <v>18000000</v>
      </c>
      <c r="I23" s="292" t="s">
        <v>361</v>
      </c>
      <c r="J23" s="292"/>
      <c r="K23" s="292"/>
      <c r="L23" s="292">
        <v>2026</v>
      </c>
    </row>
    <row r="24" spans="1:12" ht="14.4" hidden="1">
      <c r="B24" s="292"/>
      <c r="C24" s="260" t="s">
        <v>396</v>
      </c>
      <c r="D24" s="293" t="e">
        <f ca="1">_xlfn.XLOOKUP(C24,'KODE PROJECT BARU'!$C$5:$C$98,'KODE PROJECT BARU'!$E$5:$E$98,"N/A",0,1)</f>
        <v>#NAME?</v>
      </c>
      <c r="E24" s="302" t="s">
        <v>397</v>
      </c>
      <c r="F24" s="292" t="s">
        <v>352</v>
      </c>
      <c r="G24" s="292" t="s">
        <v>390</v>
      </c>
      <c r="H24" s="294">
        <v>367250000</v>
      </c>
      <c r="I24" s="292" t="s">
        <v>356</v>
      </c>
      <c r="J24" s="292" t="s">
        <v>398</v>
      </c>
      <c r="K24" s="292"/>
      <c r="L24" s="292">
        <v>2026</v>
      </c>
    </row>
    <row r="25" spans="1:12" ht="14.4" hidden="1">
      <c r="B25" s="292"/>
      <c r="C25" s="307" t="s">
        <v>396</v>
      </c>
      <c r="D25" s="293" t="e">
        <f ca="1">_xlfn.XLOOKUP(C25,'KODE PROJECT BARU'!$C$5:$C$98,'KODE PROJECT BARU'!$E$5:$E$98,"N/A",0,1)</f>
        <v>#NAME?</v>
      </c>
      <c r="E25" s="302" t="s">
        <v>399</v>
      </c>
      <c r="F25" s="292" t="s">
        <v>352</v>
      </c>
      <c r="G25" s="292" t="s">
        <v>390</v>
      </c>
      <c r="H25" s="294">
        <v>367250000</v>
      </c>
      <c r="I25" s="292" t="s">
        <v>357</v>
      </c>
      <c r="J25" s="292"/>
      <c r="K25" s="292"/>
      <c r="L25" s="292">
        <v>2026</v>
      </c>
    </row>
    <row r="26" spans="1:12" ht="14.4" hidden="1">
      <c r="B26" s="292"/>
      <c r="C26" s="260" t="s">
        <v>396</v>
      </c>
      <c r="D26" s="293" t="e">
        <f ca="1">_xlfn.XLOOKUP(C26,'KODE PROJECT BARU'!$C$5:$C$98,'KODE PROJECT BARU'!$E$5:$E$98,"N/A",0,1)</f>
        <v>#NAME?</v>
      </c>
      <c r="E26" s="302" t="s">
        <v>400</v>
      </c>
      <c r="F26" s="292" t="s">
        <v>352</v>
      </c>
      <c r="G26" s="292" t="s">
        <v>390</v>
      </c>
      <c r="H26" s="294">
        <v>367250000</v>
      </c>
      <c r="I26" s="292" t="s">
        <v>358</v>
      </c>
      <c r="J26" s="292"/>
      <c r="K26" s="292"/>
      <c r="L26" s="292">
        <v>2026</v>
      </c>
    </row>
    <row r="27" spans="1:12" ht="14.4" hidden="1">
      <c r="B27" s="292"/>
      <c r="C27" s="260" t="s">
        <v>396</v>
      </c>
      <c r="D27" s="293" t="e">
        <f ca="1">_xlfn.XLOOKUP(C27,'KODE PROJECT BARU'!$C$5:$C$98,'KODE PROJECT BARU'!$E$5:$E$98,"N/A",0,1)</f>
        <v>#NAME?</v>
      </c>
      <c r="E27" s="302" t="s">
        <v>401</v>
      </c>
      <c r="F27" s="292" t="s">
        <v>352</v>
      </c>
      <c r="G27" s="292" t="s">
        <v>390</v>
      </c>
      <c r="H27" s="294">
        <v>367250000</v>
      </c>
      <c r="I27" s="292" t="s">
        <v>359</v>
      </c>
      <c r="J27" s="292"/>
      <c r="K27" s="292"/>
      <c r="L27" s="292">
        <v>2026</v>
      </c>
    </row>
    <row r="28" spans="1:12" ht="14.4" hidden="1">
      <c r="B28" s="292"/>
      <c r="C28" s="260" t="s">
        <v>396</v>
      </c>
      <c r="D28" s="293" t="e">
        <f ca="1">_xlfn.XLOOKUP(C28,'KODE PROJECT BARU'!$C$5:$C$98,'KODE PROJECT BARU'!$E$5:$E$98,"N/A",0,1)</f>
        <v>#NAME?</v>
      </c>
      <c r="E28" s="302" t="s">
        <v>402</v>
      </c>
      <c r="F28" s="292" t="s">
        <v>352</v>
      </c>
      <c r="G28" s="292" t="s">
        <v>390</v>
      </c>
      <c r="H28" s="294">
        <v>367250000</v>
      </c>
      <c r="I28" s="292" t="s">
        <v>360</v>
      </c>
      <c r="J28" s="292"/>
      <c r="K28" s="292"/>
      <c r="L28" s="292">
        <v>2026</v>
      </c>
    </row>
    <row r="29" spans="1:12" ht="14.4" hidden="1">
      <c r="B29" s="292"/>
      <c r="C29" s="260" t="s">
        <v>396</v>
      </c>
      <c r="D29" s="293" t="e">
        <f ca="1">_xlfn.XLOOKUP(C29,'KODE PROJECT BARU'!$C$5:$C$98,'KODE PROJECT BARU'!$E$5:$E$98,"N/A",0,1)</f>
        <v>#NAME?</v>
      </c>
      <c r="E29" s="302" t="s">
        <v>403</v>
      </c>
      <c r="F29" s="292" t="s">
        <v>352</v>
      </c>
      <c r="G29" s="292" t="s">
        <v>390</v>
      </c>
      <c r="H29" s="294">
        <v>367250000</v>
      </c>
      <c r="I29" s="292" t="s">
        <v>361</v>
      </c>
      <c r="J29" s="292"/>
      <c r="K29" s="292"/>
      <c r="L29" s="292">
        <v>2026</v>
      </c>
    </row>
    <row r="30" spans="1:12" ht="14.4" hidden="1">
      <c r="B30" s="292"/>
      <c r="C30" s="260" t="s">
        <v>396</v>
      </c>
      <c r="D30" s="293" t="e">
        <f ca="1">_xlfn.XLOOKUP(C30,'KODE PROJECT BARU'!$C$5:$C$98,'KODE PROJECT BARU'!$E$5:$E$98,"N/A",0,1)</f>
        <v>#NAME?</v>
      </c>
      <c r="E30" s="302" t="s">
        <v>404</v>
      </c>
      <c r="F30" s="292" t="s">
        <v>352</v>
      </c>
      <c r="G30" s="292" t="s">
        <v>390</v>
      </c>
      <c r="H30" s="294">
        <v>367250000</v>
      </c>
      <c r="I30" s="292" t="s">
        <v>361</v>
      </c>
      <c r="J30" s="292"/>
      <c r="K30" s="292"/>
      <c r="L30" s="292">
        <v>2026</v>
      </c>
    </row>
    <row r="31" spans="1:12" ht="14.4" hidden="1">
      <c r="B31" s="292"/>
      <c r="C31" s="260" t="s">
        <v>396</v>
      </c>
      <c r="D31" s="293" t="e">
        <f ca="1">_xlfn.XLOOKUP(C31,'KODE PROJECT BARU'!$C$5:$C$98,'KODE PROJECT BARU'!$E$5:$E$98,"N/A",0,1)</f>
        <v>#NAME?</v>
      </c>
      <c r="E31" s="302" t="s">
        <v>405</v>
      </c>
      <c r="F31" s="292" t="s">
        <v>352</v>
      </c>
      <c r="G31" s="292" t="s">
        <v>390</v>
      </c>
      <c r="H31" s="294">
        <v>367250000</v>
      </c>
      <c r="I31" s="292" t="s">
        <v>361</v>
      </c>
      <c r="J31" s="292"/>
      <c r="K31" s="292"/>
      <c r="L31" s="292">
        <v>2026</v>
      </c>
    </row>
    <row r="32" spans="1:12" ht="14.4" hidden="1">
      <c r="B32" s="292"/>
      <c r="C32" s="260" t="s">
        <v>396</v>
      </c>
      <c r="D32" s="293" t="e">
        <f ca="1">_xlfn.XLOOKUP(C32,'KODE PROJECT BARU'!$C$5:$C$98,'KODE PROJECT BARU'!$E$5:$E$98,"N/A",0,1)</f>
        <v>#NAME?</v>
      </c>
      <c r="E32" s="302" t="s">
        <v>406</v>
      </c>
      <c r="F32" s="292" t="s">
        <v>352</v>
      </c>
      <c r="G32" s="292" t="s">
        <v>390</v>
      </c>
      <c r="H32" s="294">
        <v>57000000</v>
      </c>
      <c r="I32" s="292" t="s">
        <v>356</v>
      </c>
      <c r="J32" s="292"/>
      <c r="K32" s="292"/>
      <c r="L32" s="292">
        <v>2026</v>
      </c>
    </row>
    <row r="33" spans="2:12" ht="14.4" hidden="1">
      <c r="B33" s="292"/>
      <c r="C33" s="260" t="s">
        <v>396</v>
      </c>
      <c r="D33" s="293" t="e">
        <f ca="1">_xlfn.XLOOKUP(C33,'KODE PROJECT BARU'!$C$5:$C$98,'KODE PROJECT BARU'!$E$5:$E$98,"N/A",0,1)</f>
        <v>#NAME?</v>
      </c>
      <c r="E33" s="302" t="s">
        <v>407</v>
      </c>
      <c r="F33" s="292" t="s">
        <v>352</v>
      </c>
      <c r="G33" s="292" t="s">
        <v>390</v>
      </c>
      <c r="H33" s="294">
        <v>216000000</v>
      </c>
      <c r="I33" s="292" t="s">
        <v>361</v>
      </c>
      <c r="J33" s="292" t="s">
        <v>408</v>
      </c>
      <c r="K33" s="292" t="s">
        <v>409</v>
      </c>
      <c r="L33" s="292">
        <v>2026</v>
      </c>
    </row>
    <row r="34" spans="2:12" ht="14.4" hidden="1">
      <c r="B34" s="292"/>
      <c r="C34" s="260" t="s">
        <v>410</v>
      </c>
      <c r="D34" s="293" t="e">
        <f ca="1">_xlfn.XLOOKUP(C34,'KODE PROJECT BARU'!$C$5:$C$98,'KODE PROJECT BARU'!$E$5:$E$98,"N/A",0,1)</f>
        <v>#NAME?</v>
      </c>
      <c r="E34" t="s">
        <v>374</v>
      </c>
      <c r="F34" s="292" t="s">
        <v>350</v>
      </c>
      <c r="G34" s="292" t="s">
        <v>379</v>
      </c>
      <c r="H34" s="294">
        <f>9959571+28053000+338125868</f>
        <v>376138439</v>
      </c>
      <c r="I34" s="292" t="s">
        <v>380</v>
      </c>
      <c r="J34" s="292" t="s">
        <v>381</v>
      </c>
      <c r="K34" s="292"/>
      <c r="L34" s="292">
        <v>2026</v>
      </c>
    </row>
    <row r="35" spans="2:12" ht="14.4" hidden="1">
      <c r="B35" s="292"/>
      <c r="C35" s="260" t="s">
        <v>410</v>
      </c>
      <c r="D35" s="293" t="e">
        <f ca="1">_xlfn.XLOOKUP(C35,'KODE PROJECT BARU'!$C$5:$C$98,'KODE PROJECT BARU'!$E$5:$E$98,"N/A",0,1)</f>
        <v>#NAME?</v>
      </c>
      <c r="E35" t="s">
        <v>374</v>
      </c>
      <c r="F35" s="292" t="s">
        <v>350</v>
      </c>
      <c r="G35" s="292" t="s">
        <v>379</v>
      </c>
      <c r="H35" s="294">
        <f>9959571+338125868</f>
        <v>348085439</v>
      </c>
      <c r="I35" s="292" t="s">
        <v>357</v>
      </c>
      <c r="J35" s="292" t="s">
        <v>381</v>
      </c>
      <c r="K35" s="292"/>
      <c r="L35" s="292">
        <v>2026</v>
      </c>
    </row>
    <row r="36" spans="2:12" ht="14.4" hidden="1">
      <c r="B36" s="292"/>
      <c r="C36" s="260" t="s">
        <v>410</v>
      </c>
      <c r="D36" s="293" t="e">
        <f ca="1">_xlfn.XLOOKUP(C36,'KODE PROJECT BARU'!$C$5:$C$98,'KODE PROJECT BARU'!$E$5:$E$98,"N/A",0,1)</f>
        <v>#NAME?</v>
      </c>
      <c r="E36" t="s">
        <v>374</v>
      </c>
      <c r="F36" s="292" t="s">
        <v>350</v>
      </c>
      <c r="G36" s="292" t="s">
        <v>379</v>
      </c>
      <c r="H36" s="294">
        <f>9959571+338125868</f>
        <v>348085439</v>
      </c>
      <c r="I36" s="292" t="s">
        <v>358</v>
      </c>
      <c r="J36" s="292" t="s">
        <v>381</v>
      </c>
      <c r="K36" s="292"/>
      <c r="L36" s="292">
        <v>2026</v>
      </c>
    </row>
    <row r="37" spans="2:12" ht="14.4" hidden="1">
      <c r="B37" s="292"/>
      <c r="C37" s="260" t="s">
        <v>410</v>
      </c>
      <c r="D37" s="293" t="e">
        <f ca="1">_xlfn.XLOOKUP(C37,'KODE PROJECT BARU'!$C$5:$C$98,'KODE PROJECT BARU'!$E$5:$E$98,"N/A",0,1)</f>
        <v>#NAME?</v>
      </c>
      <c r="E37" t="s">
        <v>374</v>
      </c>
      <c r="F37" s="292" t="s">
        <v>350</v>
      </c>
      <c r="G37" s="292" t="s">
        <v>379</v>
      </c>
      <c r="H37" s="294">
        <f>9959571+28053000+338125868</f>
        <v>376138439</v>
      </c>
      <c r="I37" s="292" t="s">
        <v>359</v>
      </c>
      <c r="J37" s="292" t="s">
        <v>381</v>
      </c>
      <c r="K37" s="292"/>
      <c r="L37" s="292">
        <v>2026</v>
      </c>
    </row>
    <row r="38" spans="2:12" ht="14.4" hidden="1">
      <c r="B38" s="292"/>
      <c r="C38" s="260" t="s">
        <v>410</v>
      </c>
      <c r="D38" s="293" t="e">
        <f ca="1">_xlfn.XLOOKUP(C38,'KODE PROJECT BARU'!$C$5:$C$98,'KODE PROJECT BARU'!$E$5:$E$98,"N/A",0,1)</f>
        <v>#NAME?</v>
      </c>
      <c r="E38" t="s">
        <v>374</v>
      </c>
      <c r="F38" s="292" t="s">
        <v>350</v>
      </c>
      <c r="G38" s="292" t="s">
        <v>379</v>
      </c>
      <c r="H38" s="294">
        <f>9959571+338125868</f>
        <v>348085439</v>
      </c>
      <c r="I38" s="292" t="s">
        <v>360</v>
      </c>
      <c r="J38" s="292" t="s">
        <v>381</v>
      </c>
      <c r="K38" s="292"/>
      <c r="L38" s="292">
        <v>2026</v>
      </c>
    </row>
    <row r="39" spans="2:12" ht="14.4" hidden="1">
      <c r="B39" s="292"/>
      <c r="C39" s="260" t="s">
        <v>410</v>
      </c>
      <c r="D39" s="293" t="e">
        <f ca="1">_xlfn.XLOOKUP(C39,'KODE PROJECT BARU'!$C$5:$C$98,'KODE PROJECT BARU'!$E$5:$E$98,"N/A",0,1)</f>
        <v>#NAME?</v>
      </c>
      <c r="E39" t="s">
        <v>374</v>
      </c>
      <c r="F39" s="292" t="s">
        <v>350</v>
      </c>
      <c r="G39" s="292" t="s">
        <v>379</v>
      </c>
      <c r="H39" s="294">
        <f>9959571+28053000+338125868+5452613+31923800+295739679+255116431+37579894</f>
        <v>1001950856</v>
      </c>
      <c r="I39" s="292" t="s">
        <v>361</v>
      </c>
      <c r="J39" s="292" t="s">
        <v>381</v>
      </c>
      <c r="K39" s="292"/>
      <c r="L39" s="292">
        <v>2026</v>
      </c>
    </row>
    <row r="40" spans="2:12" ht="14.4" hidden="1">
      <c r="B40" s="535"/>
      <c r="C40" s="536"/>
      <c r="D40" s="547"/>
      <c r="E40" s="538"/>
      <c r="F40" s="535"/>
      <c r="G40" s="535"/>
      <c r="H40" s="539"/>
      <c r="I40" s="535"/>
      <c r="J40" s="535"/>
      <c r="K40" s="535"/>
      <c r="L40" s="535"/>
    </row>
    <row r="41" spans="2:12" ht="14.4" hidden="1">
      <c r="B41" s="535"/>
      <c r="C41" s="536"/>
      <c r="D41" s="547"/>
      <c r="E41" s="538"/>
      <c r="F41" s="535"/>
      <c r="G41" s="535"/>
      <c r="H41" s="539"/>
      <c r="I41" s="535"/>
      <c r="J41" s="535"/>
      <c r="K41" s="535"/>
      <c r="L41" s="535"/>
    </row>
    <row r="42" spans="2:12" ht="14.4" hidden="1">
      <c r="B42" s="535"/>
      <c r="C42" s="536"/>
      <c r="D42" s="547"/>
      <c r="E42" s="538"/>
      <c r="F42" s="535"/>
      <c r="G42" s="535"/>
      <c r="H42" s="539"/>
      <c r="I42" s="535"/>
      <c r="J42" s="535"/>
      <c r="K42" s="535"/>
      <c r="L42" s="535"/>
    </row>
    <row r="43" spans="2:12" ht="14.4" hidden="1">
      <c r="B43" s="535"/>
      <c r="C43" s="536"/>
      <c r="D43" s="547"/>
      <c r="E43" s="538"/>
      <c r="F43" s="535"/>
      <c r="G43" s="535"/>
      <c r="H43" s="539"/>
      <c r="I43" s="535"/>
      <c r="J43" s="535"/>
      <c r="K43" s="535"/>
      <c r="L43" s="535"/>
    </row>
    <row r="44" spans="2:12" ht="14.4" hidden="1">
      <c r="B44" s="535"/>
      <c r="C44" s="536"/>
      <c r="D44" s="547"/>
      <c r="E44" s="538"/>
      <c r="F44" s="535"/>
      <c r="G44" s="535"/>
      <c r="H44" s="539"/>
      <c r="I44" s="535"/>
      <c r="J44" s="535"/>
      <c r="K44" s="535"/>
      <c r="L44" s="535"/>
    </row>
    <row r="45" spans="2:12" ht="14.4" hidden="1">
      <c r="B45" s="535"/>
      <c r="C45" s="536"/>
      <c r="D45" s="547"/>
      <c r="E45" s="538"/>
      <c r="F45" s="535"/>
      <c r="G45" s="535"/>
      <c r="H45" s="539"/>
      <c r="I45" s="535"/>
      <c r="J45" s="535"/>
      <c r="K45" s="535"/>
      <c r="L45" s="535"/>
    </row>
    <row r="46" spans="2:12" ht="14.4" hidden="1">
      <c r="B46" s="535"/>
      <c r="C46" s="536"/>
      <c r="D46" s="547"/>
      <c r="E46" s="538"/>
      <c r="F46" s="535"/>
      <c r="G46" s="535"/>
      <c r="H46" s="539"/>
      <c r="I46" s="535"/>
      <c r="J46" s="535"/>
      <c r="K46" s="535"/>
      <c r="L46" s="535"/>
    </row>
    <row r="47" spans="2:12" ht="14.4" hidden="1">
      <c r="B47" s="535"/>
      <c r="C47" s="536"/>
      <c r="D47" s="547"/>
      <c r="E47" s="538"/>
      <c r="F47" s="535"/>
      <c r="G47" s="535"/>
      <c r="H47" s="539"/>
      <c r="I47" s="535"/>
      <c r="J47" s="535"/>
      <c r="K47" s="535"/>
      <c r="L47" s="535"/>
    </row>
    <row r="48" spans="2:12" ht="14.4" hidden="1">
      <c r="B48" s="535"/>
      <c r="C48" s="536"/>
      <c r="D48" s="547"/>
      <c r="E48" s="538"/>
      <c r="F48" s="535"/>
      <c r="G48" s="535"/>
      <c r="H48" s="539"/>
      <c r="I48" s="535"/>
      <c r="J48" s="535"/>
      <c r="K48" s="535"/>
      <c r="L48" s="535"/>
    </row>
    <row r="49" spans="2:12" ht="14.4" hidden="1">
      <c r="B49" s="535"/>
      <c r="C49" s="536"/>
      <c r="D49" s="547"/>
      <c r="E49" s="538"/>
      <c r="F49" s="535"/>
      <c r="G49" s="535"/>
      <c r="H49" s="539"/>
      <c r="I49" s="535"/>
      <c r="J49" s="535"/>
      <c r="K49" s="535"/>
      <c r="L49" s="535"/>
    </row>
    <row r="50" spans="2:12" ht="14.4" hidden="1">
      <c r="B50" s="535"/>
      <c r="C50" s="536"/>
      <c r="D50" s="547"/>
      <c r="E50" s="538"/>
      <c r="F50" s="535"/>
      <c r="G50" s="535"/>
      <c r="H50" s="539"/>
      <c r="I50" s="535"/>
      <c r="J50" s="535"/>
      <c r="K50" s="535"/>
      <c r="L50" s="535"/>
    </row>
    <row r="51" spans="2:12" ht="14.4" hidden="1">
      <c r="B51" s="535"/>
      <c r="C51" s="536"/>
      <c r="D51" s="547"/>
      <c r="E51" s="538"/>
      <c r="F51" s="535"/>
      <c r="G51" s="535"/>
      <c r="H51" s="539"/>
      <c r="I51" s="535"/>
      <c r="J51" s="535"/>
      <c r="K51" s="535"/>
      <c r="L51" s="535"/>
    </row>
    <row r="52" spans="2:12" ht="14.4" hidden="1">
      <c r="B52" s="535"/>
      <c r="C52" s="536"/>
      <c r="D52" s="547"/>
      <c r="E52" s="538"/>
      <c r="F52" s="535"/>
      <c r="G52" s="535"/>
      <c r="H52" s="539"/>
      <c r="I52" s="535"/>
      <c r="J52" s="535"/>
      <c r="K52" s="535"/>
      <c r="L52" s="535"/>
    </row>
    <row r="53" spans="2:12" ht="14.4" hidden="1">
      <c r="B53" s="535"/>
      <c r="C53" s="536"/>
      <c r="D53" s="547"/>
      <c r="E53" s="538"/>
      <c r="F53" s="535"/>
      <c r="G53" s="535"/>
      <c r="H53" s="539"/>
      <c r="I53" s="535"/>
      <c r="J53" s="535"/>
      <c r="K53" s="535"/>
      <c r="L53" s="535"/>
    </row>
    <row r="54" spans="2:12" ht="14.4" hidden="1">
      <c r="B54" s="292"/>
      <c r="C54" s="260" t="s">
        <v>411</v>
      </c>
      <c r="D54" s="293" t="e">
        <f ca="1">_xlfn.XLOOKUP(C54,'KODE PROJECT BARU'!$C$5:$C$98,'KODE PROJECT BARU'!$E$5:$E$98,"N/A",0,1)</f>
        <v>#NAME?</v>
      </c>
      <c r="E54" s="302" t="s">
        <v>412</v>
      </c>
      <c r="F54" s="292" t="s">
        <v>350</v>
      </c>
      <c r="G54" s="292" t="s">
        <v>379</v>
      </c>
      <c r="H54" s="294">
        <v>822888</v>
      </c>
      <c r="I54" s="292" t="s">
        <v>380</v>
      </c>
      <c r="J54" s="292" t="s">
        <v>381</v>
      </c>
      <c r="K54" s="292"/>
      <c r="L54" s="292">
        <v>2026</v>
      </c>
    </row>
    <row r="55" spans="2:12" ht="14.4" hidden="1">
      <c r="B55" s="292"/>
      <c r="C55" s="260" t="s">
        <v>411</v>
      </c>
      <c r="D55" s="293" t="e">
        <f ca="1">_xlfn.XLOOKUP(C55,'KODE PROJECT BARU'!$C$5:$C$98,'KODE PROJECT BARU'!$E$5:$E$98,"N/A",0,1)</f>
        <v>#NAME?</v>
      </c>
      <c r="E55" s="302" t="s">
        <v>412</v>
      </c>
      <c r="F55" s="292" t="s">
        <v>350</v>
      </c>
      <c r="G55" s="292" t="s">
        <v>379</v>
      </c>
      <c r="H55" s="294">
        <v>822888</v>
      </c>
      <c r="I55" s="292" t="s">
        <v>357</v>
      </c>
      <c r="J55" s="292" t="s">
        <v>381</v>
      </c>
      <c r="K55" s="292"/>
      <c r="L55" s="292">
        <v>2026</v>
      </c>
    </row>
    <row r="56" spans="2:12" ht="14.4" hidden="1">
      <c r="B56" s="292"/>
      <c r="C56" s="260" t="s">
        <v>411</v>
      </c>
      <c r="D56" s="293" t="e">
        <f ca="1">_xlfn.XLOOKUP(C56,'KODE PROJECT BARU'!$C$5:$C$98,'KODE PROJECT BARU'!$E$5:$E$98,"N/A",0,1)</f>
        <v>#NAME?</v>
      </c>
      <c r="E56" s="302" t="s">
        <v>412</v>
      </c>
      <c r="F56" s="292" t="s">
        <v>350</v>
      </c>
      <c r="G56" s="292" t="s">
        <v>379</v>
      </c>
      <c r="H56" s="294">
        <v>822888</v>
      </c>
      <c r="I56" s="292" t="s">
        <v>358</v>
      </c>
      <c r="J56" s="292" t="s">
        <v>381</v>
      </c>
      <c r="K56" s="292"/>
      <c r="L56" s="292">
        <v>2026</v>
      </c>
    </row>
    <row r="57" spans="2:12" ht="14.4" hidden="1">
      <c r="B57" s="292"/>
      <c r="C57" s="260" t="s">
        <v>411</v>
      </c>
      <c r="D57" s="293" t="e">
        <f ca="1">_xlfn.XLOOKUP(C57,'KODE PROJECT BARU'!$C$5:$C$98,'KODE PROJECT BARU'!$E$5:$E$98,"N/A",0,1)</f>
        <v>#NAME?</v>
      </c>
      <c r="E57" s="302" t="s">
        <v>412</v>
      </c>
      <c r="F57" s="292" t="s">
        <v>350</v>
      </c>
      <c r="G57" s="292" t="s">
        <v>379</v>
      </c>
      <c r="H57" s="294">
        <v>822888</v>
      </c>
      <c r="I57" s="292" t="s">
        <v>359</v>
      </c>
      <c r="J57" s="292" t="s">
        <v>381</v>
      </c>
      <c r="K57" s="292"/>
      <c r="L57" s="292">
        <v>2026</v>
      </c>
    </row>
    <row r="58" spans="2:12" ht="14.4" hidden="1">
      <c r="B58" s="292"/>
      <c r="C58" s="260" t="s">
        <v>411</v>
      </c>
      <c r="D58" s="293" t="e">
        <f ca="1">_xlfn.XLOOKUP(C58,'KODE PROJECT BARU'!$C$5:$C$98,'KODE PROJECT BARU'!$E$5:$E$98,"N/A",0,1)</f>
        <v>#NAME?</v>
      </c>
      <c r="E58" s="302" t="s">
        <v>412</v>
      </c>
      <c r="F58" s="292" t="s">
        <v>350</v>
      </c>
      <c r="G58" s="292" t="s">
        <v>379</v>
      </c>
      <c r="H58" s="294">
        <v>822888</v>
      </c>
      <c r="I58" s="292" t="s">
        <v>360</v>
      </c>
      <c r="J58" s="292" t="s">
        <v>381</v>
      </c>
      <c r="K58" s="292"/>
      <c r="L58" s="292">
        <v>2026</v>
      </c>
    </row>
    <row r="59" spans="2:12" ht="14.4" hidden="1">
      <c r="B59" s="292"/>
      <c r="C59" s="260" t="s">
        <v>411</v>
      </c>
      <c r="D59" s="293" t="e">
        <f ca="1">_xlfn.XLOOKUP(C59,'KODE PROJECT BARU'!$C$5:$C$98,'KODE PROJECT BARU'!$E$5:$E$98,"N/A",0,1)</f>
        <v>#NAME?</v>
      </c>
      <c r="E59" s="302" t="s">
        <v>412</v>
      </c>
      <c r="F59" s="292" t="s">
        <v>350</v>
      </c>
      <c r="G59" s="292" t="s">
        <v>379</v>
      </c>
      <c r="H59" s="294">
        <v>822888</v>
      </c>
      <c r="I59" s="292" t="s">
        <v>361</v>
      </c>
      <c r="J59" s="292" t="s">
        <v>381</v>
      </c>
      <c r="K59" s="292"/>
      <c r="L59" s="292">
        <v>2026</v>
      </c>
    </row>
    <row r="60" spans="2:12" ht="14.4" hidden="1">
      <c r="B60" s="292"/>
      <c r="C60" s="260" t="s">
        <v>411</v>
      </c>
      <c r="D60" s="293" t="e">
        <f ca="1">_xlfn.XLOOKUP(C60,'KODE PROJECT BARU'!$C$5:$C$98,'KODE PROJECT BARU'!$E$5:$E$98,"N/A",0,1)</f>
        <v>#NAME?</v>
      </c>
      <c r="E60" s="302" t="s">
        <v>384</v>
      </c>
      <c r="F60" s="292" t="s">
        <v>350</v>
      </c>
      <c r="G60" s="292" t="s">
        <v>379</v>
      </c>
      <c r="H60" s="294">
        <v>67295703</v>
      </c>
      <c r="I60" s="292" t="s">
        <v>380</v>
      </c>
      <c r="J60" s="292" t="s">
        <v>381</v>
      </c>
      <c r="K60" s="292"/>
      <c r="L60" s="292">
        <v>2026</v>
      </c>
    </row>
    <row r="61" spans="2:12" ht="14.4" hidden="1">
      <c r="B61" s="292"/>
      <c r="C61" s="260" t="s">
        <v>411</v>
      </c>
      <c r="D61" s="293" t="e">
        <f ca="1">_xlfn.XLOOKUP(C61,'KODE PROJECT BARU'!$C$5:$C$98,'KODE PROJECT BARU'!$E$5:$E$98,"N/A",0,1)</f>
        <v>#NAME?</v>
      </c>
      <c r="E61" s="302" t="s">
        <v>384</v>
      </c>
      <c r="F61" s="292" t="s">
        <v>350</v>
      </c>
      <c r="G61" s="292" t="s">
        <v>379</v>
      </c>
      <c r="H61" s="294">
        <v>67295703</v>
      </c>
      <c r="I61" s="292" t="s">
        <v>357</v>
      </c>
      <c r="J61" s="292" t="s">
        <v>381</v>
      </c>
      <c r="K61" s="292"/>
      <c r="L61" s="292">
        <v>2026</v>
      </c>
    </row>
    <row r="62" spans="2:12" ht="14.4" hidden="1">
      <c r="B62" s="292"/>
      <c r="C62" s="260" t="s">
        <v>411</v>
      </c>
      <c r="D62" s="293" t="e">
        <f ca="1">_xlfn.XLOOKUP(C62,'KODE PROJECT BARU'!$C$5:$C$98,'KODE PROJECT BARU'!$E$5:$E$98,"N/A",0,1)</f>
        <v>#NAME?</v>
      </c>
      <c r="E62" s="302" t="s">
        <v>384</v>
      </c>
      <c r="F62" s="292" t="s">
        <v>350</v>
      </c>
      <c r="G62" s="292" t="s">
        <v>379</v>
      </c>
      <c r="H62" s="294">
        <v>67295703</v>
      </c>
      <c r="I62" s="292" t="s">
        <v>358</v>
      </c>
      <c r="J62" s="292" t="s">
        <v>381</v>
      </c>
      <c r="K62" s="292"/>
      <c r="L62" s="292">
        <v>2026</v>
      </c>
    </row>
    <row r="63" spans="2:12" ht="14.4" hidden="1">
      <c r="B63" s="292"/>
      <c r="C63" s="260" t="s">
        <v>411</v>
      </c>
      <c r="D63" s="293" t="e">
        <f ca="1">_xlfn.XLOOKUP(C63,'KODE PROJECT BARU'!$C$5:$C$98,'KODE PROJECT BARU'!$E$5:$E$98,"N/A",0,1)</f>
        <v>#NAME?</v>
      </c>
      <c r="E63" s="302" t="s">
        <v>384</v>
      </c>
      <c r="F63" s="292" t="s">
        <v>350</v>
      </c>
      <c r="G63" s="292" t="s">
        <v>379</v>
      </c>
      <c r="H63" s="294">
        <v>67295703</v>
      </c>
      <c r="I63" s="292" t="s">
        <v>359</v>
      </c>
      <c r="J63" s="292" t="s">
        <v>381</v>
      </c>
      <c r="K63" s="292"/>
      <c r="L63" s="292">
        <v>2026</v>
      </c>
    </row>
    <row r="64" spans="2:12" ht="14.4" hidden="1">
      <c r="B64" s="292"/>
      <c r="C64" s="260" t="s">
        <v>411</v>
      </c>
      <c r="D64" s="293" t="e">
        <f ca="1">_xlfn.XLOOKUP(C64,'KODE PROJECT BARU'!$C$5:$C$98,'KODE PROJECT BARU'!$E$5:$E$98,"N/A",0,1)</f>
        <v>#NAME?</v>
      </c>
      <c r="E64" s="302" t="s">
        <v>384</v>
      </c>
      <c r="F64" s="292" t="s">
        <v>350</v>
      </c>
      <c r="G64" s="292" t="s">
        <v>379</v>
      </c>
      <c r="H64" s="294">
        <v>67295703</v>
      </c>
      <c r="I64" s="292" t="s">
        <v>360</v>
      </c>
      <c r="J64" s="292" t="s">
        <v>381</v>
      </c>
      <c r="K64" s="292"/>
      <c r="L64" s="292">
        <v>2026</v>
      </c>
    </row>
    <row r="65" spans="2:12" ht="14.4" hidden="1">
      <c r="B65" s="292"/>
      <c r="C65" s="260" t="s">
        <v>411</v>
      </c>
      <c r="D65" s="293" t="e">
        <f ca="1">_xlfn.XLOOKUP(C65,'KODE PROJECT BARU'!$C$5:$C$98,'KODE PROJECT BARU'!$E$5:$E$98,"N/A",0,1)</f>
        <v>#NAME?</v>
      </c>
      <c r="E65" s="302" t="s">
        <v>384</v>
      </c>
      <c r="F65" s="292" t="s">
        <v>350</v>
      </c>
      <c r="G65" s="292" t="s">
        <v>379</v>
      </c>
      <c r="H65" s="294">
        <v>67295703</v>
      </c>
      <c r="I65" s="292" t="s">
        <v>361</v>
      </c>
      <c r="J65" s="292" t="s">
        <v>381</v>
      </c>
      <c r="K65" s="292"/>
      <c r="L65" s="292">
        <v>2026</v>
      </c>
    </row>
    <row r="66" spans="2:12" ht="14.4" hidden="1">
      <c r="B66" s="292"/>
      <c r="C66" s="260" t="s">
        <v>411</v>
      </c>
      <c r="D66" s="293" t="e">
        <f ca="1">_xlfn.XLOOKUP(C66,'KODE PROJECT BARU'!$C$5:$C$98,'KODE PROJECT BARU'!$E$5:$E$98,"N/A",0,1)</f>
        <v>#NAME?</v>
      </c>
      <c r="E66" s="302" t="s">
        <v>378</v>
      </c>
      <c r="F66" s="292" t="s">
        <v>350</v>
      </c>
      <c r="G66" s="292" t="s">
        <v>379</v>
      </c>
      <c r="H66" s="294">
        <v>99744000</v>
      </c>
      <c r="I66" s="292" t="s">
        <v>380</v>
      </c>
      <c r="J66" s="292" t="s">
        <v>381</v>
      </c>
      <c r="K66" s="292"/>
      <c r="L66" s="292">
        <v>2026</v>
      </c>
    </row>
    <row r="67" spans="2:12" ht="14.4" hidden="1">
      <c r="B67" s="292"/>
      <c r="C67" s="260" t="s">
        <v>411</v>
      </c>
      <c r="D67" s="293" t="e">
        <f ca="1">_xlfn.XLOOKUP(C67,'KODE PROJECT BARU'!$C$5:$C$98,'KODE PROJECT BARU'!$E$5:$E$98,"N/A",0,1)</f>
        <v>#NAME?</v>
      </c>
      <c r="E67" s="302" t="s">
        <v>378</v>
      </c>
      <c r="F67" s="292" t="s">
        <v>350</v>
      </c>
      <c r="G67" s="292" t="s">
        <v>379</v>
      </c>
      <c r="H67" s="294">
        <v>99744000</v>
      </c>
      <c r="I67" s="292" t="s">
        <v>359</v>
      </c>
      <c r="J67" s="292" t="s">
        <v>381</v>
      </c>
      <c r="K67" s="292"/>
      <c r="L67" s="292">
        <v>2026</v>
      </c>
    </row>
    <row r="68" spans="2:12" ht="14.4" hidden="1">
      <c r="B68" s="292"/>
      <c r="C68" s="260" t="s">
        <v>411</v>
      </c>
      <c r="D68" s="293" t="e">
        <f ca="1">_xlfn.XLOOKUP(C68,'KODE PROJECT BARU'!$C$5:$C$98,'KODE PROJECT BARU'!$E$5:$E$98,"N/A",0,1)</f>
        <v>#NAME?</v>
      </c>
      <c r="E68" s="302" t="s">
        <v>378</v>
      </c>
      <c r="F68" s="292" t="s">
        <v>350</v>
      </c>
      <c r="G68" s="292" t="s">
        <v>379</v>
      </c>
      <c r="H68" s="294">
        <v>99744000</v>
      </c>
      <c r="I68" s="292" t="s">
        <v>361</v>
      </c>
      <c r="J68" s="292" t="s">
        <v>381</v>
      </c>
      <c r="K68" s="292"/>
      <c r="L68" s="292">
        <v>2026</v>
      </c>
    </row>
    <row r="69" spans="2:12" ht="14.4" hidden="1">
      <c r="B69" s="292"/>
      <c r="C69" s="260" t="s">
        <v>411</v>
      </c>
      <c r="D69" s="293" t="e">
        <f ca="1">_xlfn.XLOOKUP(C69,'KODE PROJECT BARU'!$C$5:$C$98,'KODE PROJECT BARU'!$E$5:$E$98,"N/A",0,1)</f>
        <v>#NAME?</v>
      </c>
      <c r="E69" s="302" t="s">
        <v>382</v>
      </c>
      <c r="F69" s="292" t="s">
        <v>350</v>
      </c>
      <c r="G69" s="292" t="s">
        <v>379</v>
      </c>
      <c r="H69" s="294">
        <v>667050753</v>
      </c>
      <c r="I69" s="292" t="s">
        <v>380</v>
      </c>
      <c r="J69" s="292" t="s">
        <v>381</v>
      </c>
      <c r="K69" s="292"/>
      <c r="L69" s="292">
        <v>2026</v>
      </c>
    </row>
    <row r="70" spans="2:12" ht="14.4" hidden="1">
      <c r="B70" s="292"/>
      <c r="C70" s="260" t="s">
        <v>411</v>
      </c>
      <c r="D70" s="293" t="e">
        <f ca="1">_xlfn.XLOOKUP(C70,'KODE PROJECT BARU'!$C$5:$C$98,'KODE PROJECT BARU'!$E$5:$E$98,"N/A",0,1)</f>
        <v>#NAME?</v>
      </c>
      <c r="E70" s="302" t="s">
        <v>382</v>
      </c>
      <c r="F70" s="292" t="s">
        <v>350</v>
      </c>
      <c r="G70" s="292" t="s">
        <v>379</v>
      </c>
      <c r="H70" s="294">
        <v>667050753</v>
      </c>
      <c r="I70" s="292" t="s">
        <v>357</v>
      </c>
      <c r="J70" s="292" t="s">
        <v>381</v>
      </c>
      <c r="K70" s="292"/>
      <c r="L70" s="292">
        <v>2026</v>
      </c>
    </row>
    <row r="71" spans="2:12" ht="14.4" hidden="1">
      <c r="B71" s="292"/>
      <c r="C71" s="260" t="s">
        <v>411</v>
      </c>
      <c r="D71" s="293" t="e">
        <f ca="1">_xlfn.XLOOKUP(C71,'KODE PROJECT BARU'!$C$5:$C$98,'KODE PROJECT BARU'!$E$5:$E$98,"N/A",0,1)</f>
        <v>#NAME?</v>
      </c>
      <c r="E71" s="302" t="s">
        <v>382</v>
      </c>
      <c r="F71" s="292" t="s">
        <v>350</v>
      </c>
      <c r="G71" s="292" t="s">
        <v>379</v>
      </c>
      <c r="H71" s="294">
        <v>667050753</v>
      </c>
      <c r="I71" s="292" t="s">
        <v>358</v>
      </c>
      <c r="J71" s="292" t="s">
        <v>381</v>
      </c>
      <c r="K71" s="292"/>
      <c r="L71" s="292">
        <v>2026</v>
      </c>
    </row>
    <row r="72" spans="2:12" ht="14.4" hidden="1">
      <c r="B72" s="292"/>
      <c r="C72" s="260" t="s">
        <v>411</v>
      </c>
      <c r="D72" s="293" t="e">
        <f ca="1">_xlfn.XLOOKUP(C72,'KODE PROJECT BARU'!$C$5:$C$98,'KODE PROJECT BARU'!$E$5:$E$98,"N/A",0,1)</f>
        <v>#NAME?</v>
      </c>
      <c r="E72" s="302" t="s">
        <v>382</v>
      </c>
      <c r="F72" s="292" t="s">
        <v>350</v>
      </c>
      <c r="G72" s="292" t="s">
        <v>379</v>
      </c>
      <c r="H72" s="294">
        <v>667050753</v>
      </c>
      <c r="I72" s="292" t="s">
        <v>359</v>
      </c>
      <c r="J72" s="292" t="s">
        <v>381</v>
      </c>
      <c r="K72" s="292"/>
      <c r="L72" s="292">
        <v>2026</v>
      </c>
    </row>
    <row r="73" spans="2:12" ht="14.4" hidden="1">
      <c r="B73" s="292"/>
      <c r="C73" s="260" t="s">
        <v>411</v>
      </c>
      <c r="D73" s="293" t="e">
        <f ca="1">_xlfn.XLOOKUP(C73,'KODE PROJECT BARU'!$C$5:$C$98,'KODE PROJECT BARU'!$E$5:$E$98,"N/A",0,1)</f>
        <v>#NAME?</v>
      </c>
      <c r="E73" s="302" t="s">
        <v>382</v>
      </c>
      <c r="F73" s="292" t="s">
        <v>350</v>
      </c>
      <c r="G73" s="292" t="s">
        <v>379</v>
      </c>
      <c r="H73" s="294">
        <v>667050753</v>
      </c>
      <c r="I73" s="292" t="s">
        <v>360</v>
      </c>
      <c r="J73" s="292" t="s">
        <v>381</v>
      </c>
      <c r="K73" s="292"/>
      <c r="L73" s="292">
        <v>2026</v>
      </c>
    </row>
    <row r="74" spans="2:12" ht="14.4" hidden="1">
      <c r="B74" s="292"/>
      <c r="C74" s="260" t="s">
        <v>411</v>
      </c>
      <c r="D74" s="293" t="e">
        <f ca="1">_xlfn.XLOOKUP(C74,'KODE PROJECT BARU'!$C$5:$C$98,'KODE PROJECT BARU'!$E$5:$E$98,"N/A",0,1)</f>
        <v>#NAME?</v>
      </c>
      <c r="E74" s="302" t="s">
        <v>382</v>
      </c>
      <c r="F74" s="292" t="s">
        <v>350</v>
      </c>
      <c r="G74" s="292" t="s">
        <v>379</v>
      </c>
      <c r="H74" s="294">
        <v>667050753</v>
      </c>
      <c r="I74" s="292" t="s">
        <v>361</v>
      </c>
      <c r="J74" s="292" t="s">
        <v>381</v>
      </c>
      <c r="K74" s="292"/>
      <c r="L74" s="292">
        <v>2026</v>
      </c>
    </row>
    <row r="75" spans="2:12" ht="14.4" hidden="1">
      <c r="B75" s="292"/>
      <c r="C75" s="260" t="s">
        <v>411</v>
      </c>
      <c r="D75" s="293" t="e">
        <f ca="1">_xlfn.XLOOKUP(C75,'KODE PROJECT BARU'!$C$5:$C$98,'KODE PROJECT BARU'!$E$5:$E$98,"N/A",0,1)</f>
        <v>#NAME?</v>
      </c>
      <c r="E75" s="302" t="s">
        <v>383</v>
      </c>
      <c r="F75" s="292" t="s">
        <v>350</v>
      </c>
      <c r="G75" s="292" t="s">
        <v>379</v>
      </c>
      <c r="H75" s="294">
        <v>43161943</v>
      </c>
      <c r="I75" s="292" t="s">
        <v>361</v>
      </c>
      <c r="J75" s="292" t="s">
        <v>381</v>
      </c>
      <c r="K75" s="292"/>
      <c r="L75" s="292">
        <v>2026</v>
      </c>
    </row>
    <row r="76" spans="2:12" ht="14.4" hidden="1">
      <c r="B76" s="292"/>
      <c r="C76" s="260" t="s">
        <v>411</v>
      </c>
      <c r="D76" s="293" t="e">
        <f ca="1">_xlfn.XLOOKUP(C76,'KODE PROJECT BARU'!$C$5:$C$98,'KODE PROJECT BARU'!$E$5:$E$98,"N/A",0,1)</f>
        <v>#NAME?</v>
      </c>
      <c r="E76" s="302" t="s">
        <v>385</v>
      </c>
      <c r="F76" s="292" t="s">
        <v>350</v>
      </c>
      <c r="G76" s="292" t="s">
        <v>379</v>
      </c>
      <c r="H76" s="294">
        <v>301652200</v>
      </c>
      <c r="I76" s="292" t="s">
        <v>361</v>
      </c>
      <c r="J76" s="292" t="s">
        <v>381</v>
      </c>
      <c r="K76" s="292"/>
      <c r="L76" s="292">
        <v>2026</v>
      </c>
    </row>
    <row r="77" spans="2:12" ht="14.4" hidden="1">
      <c r="B77" s="292"/>
      <c r="C77" s="260" t="s">
        <v>411</v>
      </c>
      <c r="D77" s="293" t="e">
        <f ca="1">_xlfn.XLOOKUP(C77,'KODE PROJECT BARU'!$C$5:$C$98,'KODE PROJECT BARU'!$E$5:$E$98,"N/A",0,1)</f>
        <v>#NAME?</v>
      </c>
      <c r="E77" s="302" t="s">
        <v>386</v>
      </c>
      <c r="F77" s="292" t="s">
        <v>350</v>
      </c>
      <c r="G77" s="292" t="s">
        <v>379</v>
      </c>
      <c r="H77" s="294">
        <v>353195849</v>
      </c>
      <c r="I77" s="292" t="s">
        <v>361</v>
      </c>
      <c r="J77" s="292" t="s">
        <v>381</v>
      </c>
      <c r="K77" s="292"/>
      <c r="L77" s="292">
        <v>2026</v>
      </c>
    </row>
    <row r="78" spans="2:12" ht="14.4" hidden="1">
      <c r="B78" s="292"/>
      <c r="C78" s="260" t="s">
        <v>411</v>
      </c>
      <c r="D78" s="293" t="e">
        <f ca="1">_xlfn.XLOOKUP(C78,'KODE PROJECT BARU'!$C$5:$C$98,'KODE PROJECT BARU'!$E$5:$E$98,"N/A",0,1)</f>
        <v>#NAME?</v>
      </c>
      <c r="E78" s="302" t="s">
        <v>387</v>
      </c>
      <c r="F78" s="292" t="s">
        <v>350</v>
      </c>
      <c r="G78" s="292" t="s">
        <v>379</v>
      </c>
      <c r="H78" s="294">
        <v>468431932</v>
      </c>
      <c r="I78" s="292" t="s">
        <v>361</v>
      </c>
      <c r="J78" s="292" t="s">
        <v>381</v>
      </c>
      <c r="K78" s="292"/>
      <c r="L78" s="292">
        <v>2026</v>
      </c>
    </row>
    <row r="79" spans="2:12" ht="14.4" hidden="1">
      <c r="B79" s="292"/>
      <c r="C79" s="260" t="s">
        <v>413</v>
      </c>
      <c r="D79" s="293" t="e">
        <f ca="1">_xlfn.XLOOKUP(C79,'KODE PROJECT BARU'!$C$5:$C$98,'KODE PROJECT BARU'!$E$5:$E$98,"N/A",0,1)</f>
        <v>#NAME?</v>
      </c>
      <c r="E79" t="s">
        <v>374</v>
      </c>
      <c r="F79" s="292" t="s">
        <v>350</v>
      </c>
      <c r="G79" s="292" t="s">
        <v>379</v>
      </c>
      <c r="H79" s="294">
        <f>45176460+10545850+634181698+12494268</f>
        <v>702398276</v>
      </c>
      <c r="I79" s="292" t="s">
        <v>380</v>
      </c>
      <c r="J79" s="292" t="s">
        <v>381</v>
      </c>
      <c r="K79" s="292"/>
      <c r="L79" s="292">
        <v>2026</v>
      </c>
    </row>
    <row r="80" spans="2:12" ht="14.4" hidden="1">
      <c r="B80" s="306"/>
      <c r="C80" s="260" t="s">
        <v>413</v>
      </c>
      <c r="D80" s="309" t="e">
        <f ca="1">_xlfn.XLOOKUP(C80,'KODE PROJECT BARU'!$C$5:$C$98,'KODE PROJECT BARU'!$E$5:$E$98,"N/A",0,1)</f>
        <v>#NAME?</v>
      </c>
      <c r="E80" s="296" t="s">
        <v>374</v>
      </c>
      <c r="F80" s="260" t="s">
        <v>350</v>
      </c>
      <c r="G80" s="260" t="s">
        <v>379</v>
      </c>
      <c r="H80" s="295">
        <f>45176460+10545850+634181698</f>
        <v>689904008</v>
      </c>
      <c r="I80" s="260" t="s">
        <v>357</v>
      </c>
      <c r="J80" s="292" t="s">
        <v>381</v>
      </c>
      <c r="K80" s="306"/>
      <c r="L80" s="292">
        <v>2026</v>
      </c>
    </row>
    <row r="81" spans="2:12" ht="14.4" hidden="1">
      <c r="B81" s="292"/>
      <c r="C81" s="260" t="s">
        <v>413</v>
      </c>
      <c r="D81" s="309" t="e">
        <f ca="1">_xlfn.XLOOKUP(C81,'KODE PROJECT BARU'!$C$5:$C$98,'KODE PROJECT BARU'!$E$5:$E$98,"N/A",0,1)</f>
        <v>#NAME?</v>
      </c>
      <c r="E81" t="s">
        <v>374</v>
      </c>
      <c r="F81" s="292" t="s">
        <v>350</v>
      </c>
      <c r="G81" s="292" t="s">
        <v>379</v>
      </c>
      <c r="H81" s="295">
        <f>45176460+10545850+634181698</f>
        <v>689904008</v>
      </c>
      <c r="I81" s="292" t="s">
        <v>358</v>
      </c>
      <c r="J81" s="292" t="s">
        <v>381</v>
      </c>
      <c r="K81" s="292"/>
      <c r="L81" s="292">
        <v>2026</v>
      </c>
    </row>
    <row r="82" spans="2:12" ht="14.4" hidden="1">
      <c r="B82" s="292"/>
      <c r="C82" s="260" t="s">
        <v>413</v>
      </c>
      <c r="D82" s="309" t="e">
        <f ca="1">_xlfn.XLOOKUP(C82,'KODE PROJECT BARU'!$C$5:$C$98,'KODE PROJECT BARU'!$E$5:$E$98,"N/A",0,1)</f>
        <v>#NAME?</v>
      </c>
      <c r="E82" t="s">
        <v>374</v>
      </c>
      <c r="F82" s="260" t="s">
        <v>350</v>
      </c>
      <c r="G82" s="292" t="s">
        <v>379</v>
      </c>
      <c r="H82" s="295">
        <f>45176460+10545850+634181698</f>
        <v>689904008</v>
      </c>
      <c r="I82" s="292" t="s">
        <v>359</v>
      </c>
      <c r="J82" s="292" t="s">
        <v>381</v>
      </c>
      <c r="K82" s="292"/>
      <c r="L82" s="292">
        <v>2026</v>
      </c>
    </row>
    <row r="83" spans="2:12" ht="14.4" hidden="1">
      <c r="B83" s="292"/>
      <c r="C83" s="260" t="s">
        <v>413</v>
      </c>
      <c r="D83" s="309" t="e">
        <f ca="1">_xlfn.XLOOKUP(C83,'KODE PROJECT BARU'!$C$5:$C$98,'KODE PROJECT BARU'!$E$5:$E$98,"N/A",0,1)</f>
        <v>#NAME?</v>
      </c>
      <c r="E83" t="s">
        <v>374</v>
      </c>
      <c r="F83" s="292" t="s">
        <v>350</v>
      </c>
      <c r="G83" s="292" t="s">
        <v>379</v>
      </c>
      <c r="H83" s="295">
        <f>45176460+10545850+634181698</f>
        <v>689904008</v>
      </c>
      <c r="I83" s="292" t="s">
        <v>360</v>
      </c>
      <c r="J83" s="292" t="s">
        <v>381</v>
      </c>
      <c r="K83" s="292"/>
      <c r="L83" s="292">
        <v>2026</v>
      </c>
    </row>
    <row r="84" spans="2:12" ht="14.4" hidden="1">
      <c r="B84" s="292"/>
      <c r="C84" s="260" t="s">
        <v>413</v>
      </c>
      <c r="D84" s="309" t="e">
        <f ca="1">_xlfn.XLOOKUP(C84,'KODE PROJECT BARU'!$C$5:$C$98,'KODE PROJECT BARU'!$E$5:$E$98,"N/A",0,1)</f>
        <v>#NAME?</v>
      </c>
      <c r="E84" t="s">
        <v>374</v>
      </c>
      <c r="F84" s="292" t="s">
        <v>350</v>
      </c>
      <c r="G84" s="292" t="s">
        <v>379</v>
      </c>
      <c r="H84" s="295">
        <f>45176460+10545850+634181698+(7090000*6)+571828533+75278442+72745072+22231116</f>
        <v>1474527171</v>
      </c>
      <c r="I84" s="292" t="s">
        <v>361</v>
      </c>
      <c r="J84" s="292" t="s">
        <v>381</v>
      </c>
      <c r="K84" s="292"/>
      <c r="L84" s="292">
        <v>2026</v>
      </c>
    </row>
    <row r="85" spans="2:12" ht="14.4" hidden="1">
      <c r="B85" s="535"/>
      <c r="C85" s="536"/>
      <c r="D85" s="537"/>
      <c r="E85" s="538"/>
      <c r="F85" s="535"/>
      <c r="G85" s="535"/>
      <c r="H85" s="539"/>
      <c r="I85" s="535"/>
      <c r="J85" s="535"/>
      <c r="K85" s="535"/>
      <c r="L85" s="535"/>
    </row>
    <row r="86" spans="2:12" ht="14.4" hidden="1">
      <c r="B86" s="535"/>
      <c r="C86" s="536"/>
      <c r="D86" s="537"/>
      <c r="E86" s="538"/>
      <c r="F86" s="536"/>
      <c r="G86" s="536"/>
      <c r="H86" s="539"/>
      <c r="I86" s="536"/>
      <c r="J86" s="535"/>
      <c r="K86" s="535"/>
      <c r="L86" s="535"/>
    </row>
    <row r="87" spans="2:12" ht="14.4" hidden="1">
      <c r="B87" s="535"/>
      <c r="C87" s="536"/>
      <c r="D87" s="537"/>
      <c r="E87" s="538"/>
      <c r="F87" s="535"/>
      <c r="G87" s="535"/>
      <c r="H87" s="539"/>
      <c r="I87" s="535"/>
      <c r="J87" s="535"/>
      <c r="K87" s="535"/>
      <c r="L87" s="535"/>
    </row>
    <row r="88" spans="2:12" ht="14.4" hidden="1">
      <c r="B88" s="535"/>
      <c r="C88" s="536"/>
      <c r="D88" s="537"/>
      <c r="E88" s="538"/>
      <c r="F88" s="536"/>
      <c r="G88" s="535"/>
      <c r="H88" s="539"/>
      <c r="I88" s="535"/>
      <c r="J88" s="535"/>
      <c r="K88" s="535"/>
      <c r="L88" s="535"/>
    </row>
    <row r="89" spans="2:12" ht="14.4" hidden="1">
      <c r="B89" s="535"/>
      <c r="C89" s="536"/>
      <c r="D89" s="537"/>
      <c r="E89" s="538"/>
      <c r="F89" s="535"/>
      <c r="G89" s="535"/>
      <c r="H89" s="539"/>
      <c r="I89" s="535"/>
      <c r="J89" s="535"/>
      <c r="K89" s="535"/>
      <c r="L89" s="535"/>
    </row>
    <row r="90" spans="2:12" ht="14.4" hidden="1">
      <c r="B90" s="540"/>
      <c r="C90" s="536"/>
      <c r="D90" s="537"/>
      <c r="E90" s="538"/>
      <c r="F90" s="540"/>
      <c r="G90" s="540"/>
      <c r="H90" s="539"/>
      <c r="I90" s="540"/>
      <c r="J90" s="535"/>
      <c r="K90" s="540"/>
      <c r="L90" s="535"/>
    </row>
    <row r="91" spans="2:12" ht="14.4" hidden="1">
      <c r="B91" s="535"/>
      <c r="C91" s="536"/>
      <c r="D91" s="537"/>
      <c r="E91" s="538"/>
      <c r="F91" s="535"/>
      <c r="G91" s="535"/>
      <c r="H91" s="539"/>
      <c r="I91" s="535"/>
      <c r="J91" s="535"/>
      <c r="K91" s="535"/>
      <c r="L91" s="535"/>
    </row>
    <row r="92" spans="2:12" ht="14.4" hidden="1">
      <c r="B92" s="535"/>
      <c r="C92" s="536"/>
      <c r="D92" s="537"/>
      <c r="E92" s="538"/>
      <c r="F92" s="536"/>
      <c r="G92" s="536"/>
      <c r="H92" s="539"/>
      <c r="I92" s="536"/>
      <c r="J92" s="535"/>
      <c r="K92" s="535"/>
      <c r="L92" s="535"/>
    </row>
    <row r="93" spans="2:12" ht="14.4" hidden="1">
      <c r="B93" s="535"/>
      <c r="C93" s="536"/>
      <c r="D93" s="537"/>
      <c r="E93" s="538"/>
      <c r="F93" s="535"/>
      <c r="G93" s="535"/>
      <c r="H93" s="539"/>
      <c r="I93" s="535"/>
      <c r="J93" s="535"/>
      <c r="K93" s="535"/>
      <c r="L93" s="535"/>
    </row>
    <row r="94" spans="2:12" ht="14.4" hidden="1">
      <c r="B94" s="535"/>
      <c r="C94" s="536"/>
      <c r="D94" s="537"/>
      <c r="E94" s="538"/>
      <c r="F94" s="536"/>
      <c r="G94" s="535"/>
      <c r="H94" s="539"/>
      <c r="I94" s="535"/>
      <c r="J94" s="535"/>
      <c r="K94" s="535"/>
      <c r="L94" s="535"/>
    </row>
    <row r="95" spans="2:12" ht="14.4" hidden="1">
      <c r="B95" s="535"/>
      <c r="C95" s="536"/>
      <c r="D95" s="537"/>
      <c r="E95" s="538"/>
      <c r="F95" s="535"/>
      <c r="G95" s="535"/>
      <c r="H95" s="539"/>
      <c r="I95" s="535"/>
      <c r="J95" s="535"/>
      <c r="K95" s="535"/>
      <c r="L95" s="535"/>
    </row>
    <row r="96" spans="2:12" ht="14.4" hidden="1">
      <c r="B96" s="540"/>
      <c r="C96" s="541"/>
      <c r="D96" s="542"/>
      <c r="E96" s="538"/>
      <c r="F96" s="540"/>
      <c r="G96" s="540"/>
      <c r="H96" s="539"/>
      <c r="I96" s="540"/>
      <c r="J96" s="540"/>
      <c r="K96" s="540"/>
      <c r="L96" s="535"/>
    </row>
    <row r="97" spans="2:12" ht="14.4" hidden="1">
      <c r="B97" s="535"/>
      <c r="C97" s="536"/>
      <c r="D97" s="537"/>
      <c r="E97" s="538"/>
      <c r="F97" s="535"/>
      <c r="G97" s="535"/>
      <c r="H97" s="539"/>
      <c r="I97" s="535"/>
      <c r="J97" s="535"/>
      <c r="K97" s="535"/>
      <c r="L97" s="535"/>
    </row>
    <row r="98" spans="2:12" ht="14.4" hidden="1">
      <c r="B98" s="535"/>
      <c r="C98" s="536"/>
      <c r="D98" s="537"/>
      <c r="E98" s="538"/>
      <c r="F98" s="535"/>
      <c r="G98" s="535"/>
      <c r="H98" s="539"/>
      <c r="I98" s="535"/>
      <c r="J98" s="535"/>
      <c r="K98" s="535"/>
      <c r="L98" s="535"/>
    </row>
    <row r="99" spans="2:12" ht="14.4" hidden="1">
      <c r="B99" s="535"/>
      <c r="C99" s="536"/>
      <c r="D99" s="537"/>
      <c r="E99" s="538"/>
      <c r="F99" s="535"/>
      <c r="G99" s="535"/>
      <c r="H99" s="539"/>
      <c r="I99" s="535"/>
      <c r="J99" s="535"/>
      <c r="K99" s="535"/>
      <c r="L99" s="535"/>
    </row>
    <row r="100" spans="2:12" ht="14.4" hidden="1">
      <c r="B100" s="535"/>
      <c r="C100" s="536"/>
      <c r="D100" s="537"/>
      <c r="E100" s="538"/>
      <c r="F100" s="535"/>
      <c r="G100" s="535"/>
      <c r="H100" s="539"/>
      <c r="I100" s="535"/>
      <c r="J100" s="535"/>
      <c r="K100" s="535"/>
      <c r="L100" s="535"/>
    </row>
    <row r="101" spans="2:12" ht="14.4" hidden="1">
      <c r="B101" s="535"/>
      <c r="C101" s="536"/>
      <c r="D101" s="537"/>
      <c r="E101" s="538"/>
      <c r="F101" s="535"/>
      <c r="G101" s="535"/>
      <c r="H101" s="539"/>
      <c r="I101" s="535"/>
      <c r="J101" s="535"/>
      <c r="K101" s="535"/>
      <c r="L101" s="535"/>
    </row>
    <row r="102" spans="2:12" ht="14.4" hidden="1">
      <c r="B102" s="535"/>
      <c r="C102" s="536"/>
      <c r="D102" s="537"/>
      <c r="E102" s="538"/>
      <c r="F102" s="535"/>
      <c r="G102" s="535"/>
      <c r="H102" s="539"/>
      <c r="I102" s="535"/>
      <c r="J102" s="535"/>
      <c r="K102" s="535"/>
      <c r="L102" s="535"/>
    </row>
    <row r="103" spans="2:12" ht="14.4" hidden="1">
      <c r="B103" s="535"/>
      <c r="C103" s="536"/>
      <c r="D103" s="537"/>
      <c r="E103" s="538"/>
      <c r="F103" s="535"/>
      <c r="G103" s="535"/>
      <c r="H103" s="539"/>
      <c r="I103" s="535"/>
      <c r="J103" s="535"/>
      <c r="K103" s="535"/>
      <c r="L103" s="535"/>
    </row>
    <row r="104" spans="2:12" ht="14.4" hidden="1">
      <c r="B104" s="535"/>
      <c r="C104" s="536"/>
      <c r="D104" s="537"/>
      <c r="E104" s="538"/>
      <c r="F104" s="535"/>
      <c r="G104" s="535"/>
      <c r="H104" s="539"/>
      <c r="I104" s="535"/>
      <c r="J104" s="535"/>
      <c r="K104" s="535"/>
      <c r="L104" s="535"/>
    </row>
    <row r="105" spans="2:12" ht="14.4" hidden="1">
      <c r="B105" s="535"/>
      <c r="C105" s="536"/>
      <c r="D105" s="537"/>
      <c r="E105" s="538"/>
      <c r="F105" s="535"/>
      <c r="G105" s="535"/>
      <c r="H105" s="539"/>
      <c r="I105" s="535"/>
      <c r="J105" s="535"/>
      <c r="K105" s="535"/>
      <c r="L105" s="535"/>
    </row>
    <row r="106" spans="2:12" ht="14.4" hidden="1">
      <c r="B106" s="540"/>
      <c r="C106" s="541"/>
      <c r="D106" s="542"/>
      <c r="E106" s="543"/>
      <c r="F106" s="540"/>
      <c r="G106" s="540"/>
      <c r="H106" s="544"/>
      <c r="I106" s="540"/>
      <c r="J106" s="540"/>
      <c r="K106" s="540"/>
      <c r="L106" s="535"/>
    </row>
    <row r="107" spans="2:12" ht="14.4" hidden="1">
      <c r="B107" s="540"/>
      <c r="C107" s="541"/>
      <c r="D107" s="542"/>
      <c r="E107" s="543"/>
      <c r="F107" s="540"/>
      <c r="G107" s="540"/>
      <c r="H107" s="544"/>
      <c r="I107" s="540"/>
      <c r="J107" s="540"/>
      <c r="K107" s="540"/>
      <c r="L107" s="535"/>
    </row>
    <row r="108" spans="2:12" ht="14.4" hidden="1">
      <c r="B108" s="306"/>
      <c r="C108" s="307" t="s">
        <v>414</v>
      </c>
      <c r="D108" s="311" t="e">
        <f ca="1">_xlfn.XLOOKUP(C108,'KODE PROJECT BARU'!$C$5:$C$98,'KODE PROJECT BARU'!$E$5:$E$98,"N/A",0,1)</f>
        <v>#NAME?</v>
      </c>
      <c r="E108" s="302" t="s">
        <v>382</v>
      </c>
      <c r="F108" s="292" t="s">
        <v>350</v>
      </c>
      <c r="G108" s="292" t="s">
        <v>379</v>
      </c>
      <c r="H108" s="294">
        <v>8051854</v>
      </c>
      <c r="I108" s="292" t="s">
        <v>380</v>
      </c>
      <c r="J108" s="306" t="s">
        <v>381</v>
      </c>
      <c r="K108" s="306"/>
      <c r="L108" s="292">
        <v>2026</v>
      </c>
    </row>
    <row r="109" spans="2:12" ht="14.4" hidden="1">
      <c r="B109" s="292"/>
      <c r="C109" s="307" t="s">
        <v>414</v>
      </c>
      <c r="D109" s="311" t="e">
        <f ca="1">_xlfn.XLOOKUP(C109,'KODE PROJECT BARU'!$C$5:$C$98,'KODE PROJECT BARU'!$E$5:$E$98,"N/A",0,1)</f>
        <v>#NAME?</v>
      </c>
      <c r="E109" s="302" t="s">
        <v>382</v>
      </c>
      <c r="F109" s="260" t="s">
        <v>350</v>
      </c>
      <c r="G109" s="260" t="s">
        <v>379</v>
      </c>
      <c r="H109" s="294">
        <v>8051854</v>
      </c>
      <c r="I109" s="260" t="s">
        <v>357</v>
      </c>
      <c r="J109" s="306" t="s">
        <v>381</v>
      </c>
      <c r="K109" s="292"/>
      <c r="L109" s="292">
        <v>2026</v>
      </c>
    </row>
    <row r="110" spans="2:12" ht="14.4" hidden="1">
      <c r="B110" s="292"/>
      <c r="C110" s="307" t="s">
        <v>414</v>
      </c>
      <c r="D110" s="311" t="e">
        <f ca="1">_xlfn.XLOOKUP(C110,'KODE PROJECT BARU'!$C$5:$C$98,'KODE PROJECT BARU'!$E$5:$E$98,"N/A",0,1)</f>
        <v>#NAME?</v>
      </c>
      <c r="E110" s="302" t="s">
        <v>382</v>
      </c>
      <c r="F110" s="292" t="s">
        <v>350</v>
      </c>
      <c r="G110" s="292" t="s">
        <v>379</v>
      </c>
      <c r="H110" s="294">
        <v>8051854</v>
      </c>
      <c r="I110" s="292" t="s">
        <v>358</v>
      </c>
      <c r="J110" s="306" t="s">
        <v>381</v>
      </c>
      <c r="K110" s="292"/>
      <c r="L110" s="292">
        <v>2026</v>
      </c>
    </row>
    <row r="111" spans="2:12" ht="14.4" hidden="1">
      <c r="B111" s="292"/>
      <c r="C111" s="307" t="s">
        <v>414</v>
      </c>
      <c r="D111" s="311" t="e">
        <f ca="1">_xlfn.XLOOKUP(C111,'KODE PROJECT BARU'!$C$5:$C$98,'KODE PROJECT BARU'!$E$5:$E$98,"N/A",0,1)</f>
        <v>#NAME?</v>
      </c>
      <c r="E111" s="302" t="s">
        <v>382</v>
      </c>
      <c r="F111" s="260" t="s">
        <v>350</v>
      </c>
      <c r="G111" s="292" t="s">
        <v>379</v>
      </c>
      <c r="H111" s="294">
        <v>8051854</v>
      </c>
      <c r="I111" s="292" t="s">
        <v>359</v>
      </c>
      <c r="J111" s="306" t="s">
        <v>381</v>
      </c>
      <c r="K111" s="292"/>
      <c r="L111" s="292">
        <v>2026</v>
      </c>
    </row>
    <row r="112" spans="2:12" ht="14.4" hidden="1">
      <c r="B112" s="292"/>
      <c r="C112" s="307" t="s">
        <v>414</v>
      </c>
      <c r="D112" s="311" t="e">
        <f ca="1">_xlfn.XLOOKUP(C112,'KODE PROJECT BARU'!$C$5:$C$98,'KODE PROJECT BARU'!$E$5:$E$98,"N/A",0,1)</f>
        <v>#NAME?</v>
      </c>
      <c r="E112" s="302" t="s">
        <v>382</v>
      </c>
      <c r="F112" s="292" t="s">
        <v>350</v>
      </c>
      <c r="G112" s="292" t="s">
        <v>379</v>
      </c>
      <c r="H112" s="294">
        <v>8051854</v>
      </c>
      <c r="I112" s="292" t="s">
        <v>360</v>
      </c>
      <c r="J112" s="306" t="s">
        <v>381</v>
      </c>
      <c r="K112" s="292"/>
      <c r="L112" s="292">
        <v>2026</v>
      </c>
    </row>
    <row r="113" spans="2:12" ht="14.4" hidden="1">
      <c r="B113" s="292"/>
      <c r="C113" s="307" t="s">
        <v>414</v>
      </c>
      <c r="D113" s="311" t="e">
        <f ca="1">_xlfn.XLOOKUP(C113,'KODE PROJECT BARU'!$C$5:$C$98,'KODE PROJECT BARU'!$E$5:$E$98,"N/A",0,1)</f>
        <v>#NAME?</v>
      </c>
      <c r="E113" s="302" t="s">
        <v>382</v>
      </c>
      <c r="F113" s="306" t="s">
        <v>350</v>
      </c>
      <c r="G113" s="306" t="s">
        <v>379</v>
      </c>
      <c r="H113" s="294">
        <v>8051854</v>
      </c>
      <c r="I113" s="306" t="s">
        <v>361</v>
      </c>
      <c r="J113" s="306" t="s">
        <v>381</v>
      </c>
      <c r="K113" s="292"/>
      <c r="L113" s="292">
        <v>2026</v>
      </c>
    </row>
    <row r="114" spans="2:12" ht="14.4" hidden="1">
      <c r="B114" s="306"/>
      <c r="C114" s="307" t="s">
        <v>414</v>
      </c>
      <c r="D114" s="311" t="e">
        <f ca="1">_xlfn.XLOOKUP(C114,'KODE PROJECT BARU'!$C$5:$C$98,'KODE PROJECT BARU'!$E$5:$E$98,"N/A",0,1)</f>
        <v>#NAME?</v>
      </c>
      <c r="E114" s="310" t="s">
        <v>387</v>
      </c>
      <c r="F114" s="306" t="s">
        <v>350</v>
      </c>
      <c r="G114" s="306" t="s">
        <v>379</v>
      </c>
      <c r="H114" s="294">
        <v>6213220</v>
      </c>
      <c r="I114" s="306" t="s">
        <v>361</v>
      </c>
      <c r="J114" s="306" t="s">
        <v>381</v>
      </c>
      <c r="K114" s="306"/>
      <c r="L114" s="292">
        <v>2026</v>
      </c>
    </row>
    <row r="115" spans="2:12" ht="14.4" hidden="1">
      <c r="B115" s="292"/>
      <c r="C115" s="307" t="s">
        <v>414</v>
      </c>
      <c r="D115" s="311" t="e">
        <f ca="1">_xlfn.XLOOKUP(C115,'KODE PROJECT BARU'!$C$5:$C$98,'KODE PROJECT BARU'!$E$5:$E$98,"N/A",0,1)</f>
        <v>#NAME?</v>
      </c>
      <c r="E115" s="302" t="s">
        <v>384</v>
      </c>
      <c r="F115" s="292" t="s">
        <v>350</v>
      </c>
      <c r="G115" s="292" t="s">
        <v>379</v>
      </c>
      <c r="H115" s="294">
        <v>12860742</v>
      </c>
      <c r="I115" s="292" t="s">
        <v>357</v>
      </c>
      <c r="J115" s="292" t="s">
        <v>381</v>
      </c>
      <c r="K115" s="292"/>
      <c r="L115" s="292">
        <v>2026</v>
      </c>
    </row>
    <row r="116" spans="2:12" ht="14.4" hidden="1">
      <c r="B116" s="306"/>
      <c r="C116" s="307" t="s">
        <v>414</v>
      </c>
      <c r="D116" s="311" t="e">
        <f ca="1">_xlfn.XLOOKUP(C116,'KODE PROJECT BARU'!$C$5:$C$98,'KODE PROJECT BARU'!$E$5:$E$98,"N/A",0,1)</f>
        <v>#NAME?</v>
      </c>
      <c r="E116" s="310" t="s">
        <v>384</v>
      </c>
      <c r="F116" s="306" t="s">
        <v>350</v>
      </c>
      <c r="G116" s="306" t="s">
        <v>379</v>
      </c>
      <c r="H116" s="312">
        <f>H115</f>
        <v>12860742</v>
      </c>
      <c r="I116" s="306" t="s">
        <v>361</v>
      </c>
      <c r="J116" s="306" t="s">
        <v>381</v>
      </c>
      <c r="K116" s="306"/>
      <c r="L116" s="292">
        <v>2026</v>
      </c>
    </row>
    <row r="117" spans="2:12" ht="14.4" hidden="1">
      <c r="B117" s="306"/>
      <c r="C117" s="307" t="s">
        <v>415</v>
      </c>
      <c r="D117" s="311" t="e">
        <f ca="1">_xlfn.XLOOKUP(C117,'KODE PROJECT BARU'!$C$5:$C$98,'KODE PROJECT BARU'!$E$5:$E$98,"N/A",0,1)</f>
        <v>#NAME?</v>
      </c>
      <c r="E117" s="302" t="s">
        <v>382</v>
      </c>
      <c r="F117" s="292" t="s">
        <v>350</v>
      </c>
      <c r="G117" s="292" t="s">
        <v>379</v>
      </c>
      <c r="H117" s="294">
        <v>178204573</v>
      </c>
      <c r="I117" s="292" t="s">
        <v>380</v>
      </c>
      <c r="J117" s="306" t="s">
        <v>381</v>
      </c>
      <c r="K117" s="306"/>
      <c r="L117" s="292">
        <v>2026</v>
      </c>
    </row>
    <row r="118" spans="2:12" ht="14.4" hidden="1">
      <c r="B118" s="292"/>
      <c r="C118" s="307" t="s">
        <v>415</v>
      </c>
      <c r="D118" s="311" t="e">
        <f ca="1">_xlfn.XLOOKUP(C118,'KODE PROJECT BARU'!$C$5:$C$98,'KODE PROJECT BARU'!$E$5:$E$98,"N/A",0,1)</f>
        <v>#NAME?</v>
      </c>
      <c r="E118" s="302" t="s">
        <v>382</v>
      </c>
      <c r="F118" s="260" t="s">
        <v>350</v>
      </c>
      <c r="G118" s="260" t="s">
        <v>379</v>
      </c>
      <c r="H118" s="294">
        <v>178204573</v>
      </c>
      <c r="I118" s="260" t="s">
        <v>357</v>
      </c>
      <c r="J118" s="306" t="s">
        <v>381</v>
      </c>
      <c r="K118" s="292"/>
      <c r="L118" s="292">
        <v>2026</v>
      </c>
    </row>
    <row r="119" spans="2:12" ht="14.4" hidden="1">
      <c r="B119" s="292"/>
      <c r="C119" s="307" t="s">
        <v>415</v>
      </c>
      <c r="D119" s="311" t="e">
        <f ca="1">_xlfn.XLOOKUP(C119,'KODE PROJECT BARU'!$C$5:$C$98,'KODE PROJECT BARU'!$E$5:$E$98,"N/A",0,1)</f>
        <v>#NAME?</v>
      </c>
      <c r="E119" s="302" t="s">
        <v>382</v>
      </c>
      <c r="F119" s="292" t="s">
        <v>350</v>
      </c>
      <c r="G119" s="292" t="s">
        <v>379</v>
      </c>
      <c r="H119" s="294">
        <v>178204573</v>
      </c>
      <c r="I119" s="292" t="s">
        <v>358</v>
      </c>
      <c r="J119" s="306" t="s">
        <v>381</v>
      </c>
      <c r="K119" s="292"/>
      <c r="L119" s="292">
        <v>2026</v>
      </c>
    </row>
    <row r="120" spans="2:12" ht="14.4" hidden="1">
      <c r="B120" s="292"/>
      <c r="C120" s="307" t="s">
        <v>415</v>
      </c>
      <c r="D120" s="311" t="e">
        <f ca="1">_xlfn.XLOOKUP(C120,'KODE PROJECT BARU'!$C$5:$C$98,'KODE PROJECT BARU'!$E$5:$E$98,"N/A",0,1)</f>
        <v>#NAME?</v>
      </c>
      <c r="E120" s="302" t="s">
        <v>382</v>
      </c>
      <c r="F120" s="260" t="s">
        <v>350</v>
      </c>
      <c r="G120" s="292" t="s">
        <v>379</v>
      </c>
      <c r="H120" s="294">
        <v>178204573</v>
      </c>
      <c r="I120" s="292" t="s">
        <v>359</v>
      </c>
      <c r="J120" s="306" t="s">
        <v>381</v>
      </c>
      <c r="K120" s="292"/>
      <c r="L120" s="292">
        <v>2026</v>
      </c>
    </row>
    <row r="121" spans="2:12" ht="14.4" hidden="1">
      <c r="B121" s="292"/>
      <c r="C121" s="307" t="s">
        <v>415</v>
      </c>
      <c r="D121" s="311" t="e">
        <f ca="1">_xlfn.XLOOKUP(C121,'KODE PROJECT BARU'!$C$5:$C$98,'KODE PROJECT BARU'!$E$5:$E$98,"N/A",0,1)</f>
        <v>#NAME?</v>
      </c>
      <c r="E121" s="302" t="s">
        <v>382</v>
      </c>
      <c r="F121" s="292" t="s">
        <v>350</v>
      </c>
      <c r="G121" s="292" t="s">
        <v>379</v>
      </c>
      <c r="H121" s="294">
        <v>178204573</v>
      </c>
      <c r="I121" s="292" t="s">
        <v>360</v>
      </c>
      <c r="J121" s="306" t="s">
        <v>381</v>
      </c>
      <c r="K121" s="292"/>
      <c r="L121" s="292">
        <v>2026</v>
      </c>
    </row>
    <row r="122" spans="2:12" ht="14.4" hidden="1">
      <c r="B122" s="292"/>
      <c r="C122" s="307" t="s">
        <v>415</v>
      </c>
      <c r="D122" s="311" t="e">
        <f ca="1">_xlfn.XLOOKUP(C122,'KODE PROJECT BARU'!$C$5:$C$98,'KODE PROJECT BARU'!$E$5:$E$98,"N/A",0,1)</f>
        <v>#NAME?</v>
      </c>
      <c r="E122" s="302" t="s">
        <v>382</v>
      </c>
      <c r="F122" s="306" t="s">
        <v>350</v>
      </c>
      <c r="G122" s="306" t="s">
        <v>379</v>
      </c>
      <c r="H122" s="294">
        <v>178204573</v>
      </c>
      <c r="I122" s="306" t="s">
        <v>361</v>
      </c>
      <c r="J122" s="306" t="s">
        <v>381</v>
      </c>
      <c r="K122" s="292"/>
      <c r="L122" s="292">
        <v>2026</v>
      </c>
    </row>
    <row r="123" spans="2:12" ht="14.4" hidden="1">
      <c r="B123" s="292"/>
      <c r="C123" s="260" t="s">
        <v>415</v>
      </c>
      <c r="D123" s="309" t="e">
        <f ca="1">_xlfn.XLOOKUP(C123,'KODE PROJECT BARU'!$C$5:$C$98,'KODE PROJECT BARU'!$E$5:$E$98,"N/A",0,1)</f>
        <v>#NAME?</v>
      </c>
      <c r="E123" s="302" t="s">
        <v>416</v>
      </c>
      <c r="F123" s="292" t="s">
        <v>350</v>
      </c>
      <c r="G123" s="292" t="s">
        <v>379</v>
      </c>
      <c r="H123" s="294">
        <v>51601935</v>
      </c>
      <c r="I123" s="292" t="s">
        <v>380</v>
      </c>
      <c r="J123" s="306" t="s">
        <v>381</v>
      </c>
      <c r="K123" s="292"/>
      <c r="L123" s="292">
        <v>2026</v>
      </c>
    </row>
    <row r="124" spans="2:12" ht="14.4" hidden="1">
      <c r="B124" s="292"/>
      <c r="C124" s="260" t="s">
        <v>415</v>
      </c>
      <c r="D124" s="309" t="e">
        <f ca="1">_xlfn.XLOOKUP(C124,'KODE PROJECT BARU'!$C$5:$C$98,'KODE PROJECT BARU'!$E$5:$E$98,"N/A",0,1)</f>
        <v>#NAME?</v>
      </c>
      <c r="E124" s="302" t="s">
        <v>416</v>
      </c>
      <c r="F124" s="260" t="s">
        <v>350</v>
      </c>
      <c r="G124" s="260" t="s">
        <v>379</v>
      </c>
      <c r="H124" s="294">
        <v>51601935</v>
      </c>
      <c r="I124" s="260" t="s">
        <v>357</v>
      </c>
      <c r="J124" s="306" t="s">
        <v>381</v>
      </c>
      <c r="K124" s="292"/>
      <c r="L124" s="292">
        <v>2026</v>
      </c>
    </row>
    <row r="125" spans="2:12" ht="14.4" hidden="1">
      <c r="B125" s="292"/>
      <c r="C125" s="260" t="s">
        <v>415</v>
      </c>
      <c r="D125" s="309" t="e">
        <f ca="1">_xlfn.XLOOKUP(C125,'KODE PROJECT BARU'!$C$5:$C$98,'KODE PROJECT BARU'!$E$5:$E$98,"N/A",0,1)</f>
        <v>#NAME?</v>
      </c>
      <c r="E125" s="302" t="s">
        <v>416</v>
      </c>
      <c r="F125" s="292" t="s">
        <v>350</v>
      </c>
      <c r="G125" s="292" t="s">
        <v>379</v>
      </c>
      <c r="H125" s="294">
        <v>51601935</v>
      </c>
      <c r="I125" s="292" t="s">
        <v>358</v>
      </c>
      <c r="J125" s="306" t="s">
        <v>381</v>
      </c>
      <c r="K125" s="292"/>
      <c r="L125" s="292">
        <v>2026</v>
      </c>
    </row>
    <row r="126" spans="2:12" ht="14.4" hidden="1">
      <c r="B126" s="306"/>
      <c r="C126" s="307" t="s">
        <v>415</v>
      </c>
      <c r="D126" s="311" t="e">
        <f ca="1">_xlfn.XLOOKUP(C126,'KODE PROJECT BARU'!$C$5:$C$98,'KODE PROJECT BARU'!$E$5:$E$98,"N/A",0,1)</f>
        <v>#NAME?</v>
      </c>
      <c r="E126" s="302" t="s">
        <v>416</v>
      </c>
      <c r="F126" s="260" t="s">
        <v>350</v>
      </c>
      <c r="G126" s="292" t="s">
        <v>379</v>
      </c>
      <c r="H126" s="294">
        <v>51601935</v>
      </c>
      <c r="I126" s="292" t="s">
        <v>359</v>
      </c>
      <c r="J126" s="306" t="s">
        <v>381</v>
      </c>
      <c r="K126" s="306"/>
      <c r="L126" s="292">
        <v>2026</v>
      </c>
    </row>
    <row r="127" spans="2:12" ht="14.4" hidden="1">
      <c r="B127" s="292"/>
      <c r="C127" s="307" t="s">
        <v>415</v>
      </c>
      <c r="D127" s="311" t="e">
        <f ca="1">_xlfn.XLOOKUP(C127,'KODE PROJECT BARU'!$C$5:$C$98,'KODE PROJECT BARU'!$E$5:$E$98,"N/A",0,1)</f>
        <v>#NAME?</v>
      </c>
      <c r="E127" s="302" t="s">
        <v>416</v>
      </c>
      <c r="F127" s="292" t="s">
        <v>350</v>
      </c>
      <c r="G127" s="292" t="s">
        <v>379</v>
      </c>
      <c r="H127" s="294">
        <v>51601935</v>
      </c>
      <c r="I127" s="292" t="s">
        <v>360</v>
      </c>
      <c r="J127" s="306" t="s">
        <v>381</v>
      </c>
      <c r="K127" s="292"/>
      <c r="L127" s="292">
        <v>2026</v>
      </c>
    </row>
    <row r="128" spans="2:12" ht="14.4" hidden="1">
      <c r="B128" s="292"/>
      <c r="C128" s="307" t="s">
        <v>415</v>
      </c>
      <c r="D128" s="311" t="e">
        <f ca="1">_xlfn.XLOOKUP(C128,'KODE PROJECT BARU'!$C$5:$C$98,'KODE PROJECT BARU'!$E$5:$E$98,"N/A",0,1)</f>
        <v>#NAME?</v>
      </c>
      <c r="E128" s="302" t="s">
        <v>416</v>
      </c>
      <c r="F128" s="306" t="s">
        <v>350</v>
      </c>
      <c r="G128" s="306" t="s">
        <v>379</v>
      </c>
      <c r="H128" s="294">
        <v>51601935</v>
      </c>
      <c r="I128" s="306" t="s">
        <v>361</v>
      </c>
      <c r="J128" s="306" t="s">
        <v>381</v>
      </c>
      <c r="K128" s="292"/>
      <c r="L128" s="292">
        <v>2026</v>
      </c>
    </row>
    <row r="129" spans="2:12" ht="14.4" hidden="1">
      <c r="B129" s="306"/>
      <c r="C129" s="307" t="s">
        <v>415</v>
      </c>
      <c r="D129" s="311" t="e">
        <f ca="1">_xlfn.XLOOKUP(C129,'KODE PROJECT BARU'!$C$5:$C$98,'KODE PROJECT BARU'!$E$5:$E$98,"N/A",0,1)</f>
        <v>#NAME?</v>
      </c>
      <c r="E129" s="310" t="s">
        <v>387</v>
      </c>
      <c r="F129" s="306" t="s">
        <v>350</v>
      </c>
      <c r="G129" s="306" t="s">
        <v>379</v>
      </c>
      <c r="H129" s="294">
        <v>127155117</v>
      </c>
      <c r="I129" s="306" t="s">
        <v>361</v>
      </c>
      <c r="J129" s="306" t="s">
        <v>381</v>
      </c>
      <c r="K129" s="306"/>
      <c r="L129" s="292">
        <v>2026</v>
      </c>
    </row>
    <row r="130" spans="2:12" ht="14.4" hidden="1">
      <c r="B130" s="306"/>
      <c r="C130" s="307" t="s">
        <v>415</v>
      </c>
      <c r="D130" s="311" t="e">
        <f ca="1">_xlfn.XLOOKUP(C130,'KODE PROJECT BARU'!$C$5:$C$98,'KODE PROJECT BARU'!$E$5:$E$98,"N/A",0,1)</f>
        <v>#NAME?</v>
      </c>
      <c r="E130" s="310" t="s">
        <v>384</v>
      </c>
      <c r="F130" s="306" t="s">
        <v>350</v>
      </c>
      <c r="G130" s="306" t="s">
        <v>379</v>
      </c>
      <c r="H130" s="294">
        <v>53054908</v>
      </c>
      <c r="I130" s="306" t="s">
        <v>361</v>
      </c>
      <c r="J130" s="306" t="s">
        <v>381</v>
      </c>
      <c r="K130" s="306"/>
      <c r="L130" s="292">
        <v>2026</v>
      </c>
    </row>
    <row r="131" spans="2:12" ht="14.4" hidden="1">
      <c r="B131" s="306"/>
      <c r="C131" s="307" t="s">
        <v>415</v>
      </c>
      <c r="D131" s="311" t="e">
        <f ca="1">_xlfn.XLOOKUP(C131,'KODE PROJECT BARU'!$C$5:$C$98,'KODE PROJECT BARU'!$E$5:$E$98,"N/A",0,1)</f>
        <v>#NAME?</v>
      </c>
      <c r="E131" s="310" t="s">
        <v>385</v>
      </c>
      <c r="F131" s="306" t="s">
        <v>350</v>
      </c>
      <c r="G131" s="306" t="s">
        <v>379</v>
      </c>
      <c r="H131" s="294">
        <v>63003164</v>
      </c>
      <c r="I131" s="306" t="s">
        <v>361</v>
      </c>
      <c r="J131" s="306" t="s">
        <v>381</v>
      </c>
      <c r="K131" s="306"/>
      <c r="L131" s="292">
        <v>2026</v>
      </c>
    </row>
    <row r="132" spans="2:12" ht="14.4" hidden="1">
      <c r="B132" s="306"/>
      <c r="C132" s="307" t="s">
        <v>415</v>
      </c>
      <c r="D132" s="311" t="e">
        <f ca="1">_xlfn.XLOOKUP(C132,'KODE PROJECT BARU'!$C$5:$C$98,'KODE PROJECT BARU'!$E$5:$E$98,"N/A",0,1)</f>
        <v>#NAME?</v>
      </c>
      <c r="E132" s="310" t="s">
        <v>383</v>
      </c>
      <c r="F132" s="306" t="s">
        <v>350</v>
      </c>
      <c r="G132" s="306" t="s">
        <v>379</v>
      </c>
      <c r="H132" s="294">
        <v>27537503</v>
      </c>
      <c r="I132" s="306" t="s">
        <v>361</v>
      </c>
      <c r="J132" s="306" t="s">
        <v>381</v>
      </c>
      <c r="K132" s="306"/>
      <c r="L132" s="292">
        <v>2026</v>
      </c>
    </row>
    <row r="133" spans="2:12" ht="14.4" hidden="1">
      <c r="B133" s="306"/>
      <c r="C133" s="307" t="s">
        <v>373</v>
      </c>
      <c r="D133" s="311" t="e">
        <f ca="1">_xlfn.XLOOKUP(C133,'KODE PROJECT BARU'!$C$5:$C$98,'KODE PROJECT BARU'!$E$5:$E$98,"N/A",0,1)</f>
        <v>#NAME?</v>
      </c>
      <c r="E133" s="310" t="s">
        <v>384</v>
      </c>
      <c r="F133" s="306" t="s">
        <v>350</v>
      </c>
      <c r="G133" s="306" t="s">
        <v>379</v>
      </c>
      <c r="H133" s="312">
        <v>48307555</v>
      </c>
      <c r="I133" s="292" t="s">
        <v>380</v>
      </c>
      <c r="J133" s="306" t="s">
        <v>381</v>
      </c>
      <c r="K133" s="306"/>
      <c r="L133" s="292">
        <v>2026</v>
      </c>
    </row>
    <row r="134" spans="2:12" ht="14.4" hidden="1">
      <c r="B134" s="292"/>
      <c r="C134" s="307" t="s">
        <v>373</v>
      </c>
      <c r="D134" s="311" t="e">
        <f ca="1">_xlfn.XLOOKUP(C134,'KODE PROJECT BARU'!$C$5:$C$98,'KODE PROJECT BARU'!$E$5:$E$98,"N/A",0,1)</f>
        <v>#NAME?</v>
      </c>
      <c r="E134" s="302" t="s">
        <v>384</v>
      </c>
      <c r="F134" s="306" t="s">
        <v>350</v>
      </c>
      <c r="G134" s="306" t="s">
        <v>379</v>
      </c>
      <c r="H134" s="312">
        <v>48307555</v>
      </c>
      <c r="I134" s="260" t="s">
        <v>357</v>
      </c>
      <c r="J134" s="306" t="s">
        <v>381</v>
      </c>
      <c r="K134" s="292"/>
      <c r="L134" s="292">
        <v>2026</v>
      </c>
    </row>
    <row r="135" spans="2:12" ht="14.4" hidden="1">
      <c r="B135" s="292"/>
      <c r="C135" s="307" t="s">
        <v>373</v>
      </c>
      <c r="D135" s="311" t="e">
        <f ca="1">_xlfn.XLOOKUP(C135,'KODE PROJECT BARU'!$C$5:$C$98,'KODE PROJECT BARU'!$E$5:$E$98,"N/A",0,1)</f>
        <v>#NAME?</v>
      </c>
      <c r="E135" s="302" t="s">
        <v>384</v>
      </c>
      <c r="F135" s="306" t="s">
        <v>350</v>
      </c>
      <c r="G135" s="306" t="s">
        <v>379</v>
      </c>
      <c r="H135" s="312">
        <v>48307555</v>
      </c>
      <c r="I135" s="292" t="s">
        <v>358</v>
      </c>
      <c r="J135" s="306" t="s">
        <v>381</v>
      </c>
      <c r="K135" s="292"/>
      <c r="L135" s="292">
        <v>2026</v>
      </c>
    </row>
    <row r="136" spans="2:12" ht="14.4" hidden="1">
      <c r="B136" s="292"/>
      <c r="C136" s="307" t="s">
        <v>373</v>
      </c>
      <c r="D136" s="311" t="e">
        <f ca="1">_xlfn.XLOOKUP(C136,'KODE PROJECT BARU'!$C$5:$C$98,'KODE PROJECT BARU'!$E$5:$E$98,"N/A",0,1)</f>
        <v>#NAME?</v>
      </c>
      <c r="E136" s="302" t="s">
        <v>384</v>
      </c>
      <c r="F136" s="306" t="s">
        <v>350</v>
      </c>
      <c r="G136" s="306" t="s">
        <v>379</v>
      </c>
      <c r="H136" s="312">
        <v>48307555</v>
      </c>
      <c r="I136" s="292" t="s">
        <v>359</v>
      </c>
      <c r="J136" s="306" t="s">
        <v>381</v>
      </c>
      <c r="K136" s="292"/>
      <c r="L136" s="292">
        <v>2026</v>
      </c>
    </row>
    <row r="137" spans="2:12" ht="14.4" hidden="1">
      <c r="B137" s="292"/>
      <c r="C137" s="307" t="s">
        <v>373</v>
      </c>
      <c r="D137" s="311" t="e">
        <f ca="1">_xlfn.XLOOKUP(C137,'KODE PROJECT BARU'!$C$5:$C$98,'KODE PROJECT BARU'!$E$5:$E$98,"N/A",0,1)</f>
        <v>#NAME?</v>
      </c>
      <c r="E137" s="302" t="s">
        <v>384</v>
      </c>
      <c r="F137" s="306" t="s">
        <v>350</v>
      </c>
      <c r="G137" s="306" t="s">
        <v>379</v>
      </c>
      <c r="H137" s="312">
        <v>48307555</v>
      </c>
      <c r="I137" s="292" t="s">
        <v>360</v>
      </c>
      <c r="J137" s="306" t="s">
        <v>381</v>
      </c>
      <c r="K137" s="292"/>
      <c r="L137" s="292">
        <v>2026</v>
      </c>
    </row>
    <row r="138" spans="2:12" ht="14.4" hidden="1">
      <c r="B138" s="306"/>
      <c r="C138" s="307" t="s">
        <v>373</v>
      </c>
      <c r="D138" s="311" t="e">
        <f ca="1">_xlfn.XLOOKUP(C138,'KODE PROJECT BARU'!$C$5:$C$98,'KODE PROJECT BARU'!$E$5:$E$98,"N/A",0,1)</f>
        <v>#NAME?</v>
      </c>
      <c r="E138" s="310" t="s">
        <v>384</v>
      </c>
      <c r="F138" s="306" t="s">
        <v>350</v>
      </c>
      <c r="G138" s="306" t="s">
        <v>379</v>
      </c>
      <c r="H138" s="312">
        <v>48307555</v>
      </c>
      <c r="I138" s="306" t="s">
        <v>361</v>
      </c>
      <c r="J138" s="306" t="s">
        <v>381</v>
      </c>
      <c r="K138" s="306"/>
      <c r="L138" s="292">
        <v>2026</v>
      </c>
    </row>
    <row r="139" spans="2:12" ht="14.4" hidden="1">
      <c r="B139" s="306"/>
      <c r="C139" s="307" t="s">
        <v>373</v>
      </c>
      <c r="D139" s="311" t="e">
        <f ca="1">_xlfn.XLOOKUP(C139,'KODE PROJECT BARU'!$C$5:$C$98,'KODE PROJECT BARU'!$E$5:$E$98,"N/A",0,1)</f>
        <v>#NAME?</v>
      </c>
      <c r="E139" s="310" t="s">
        <v>378</v>
      </c>
      <c r="F139" s="306" t="s">
        <v>350</v>
      </c>
      <c r="G139" s="306" t="s">
        <v>379</v>
      </c>
      <c r="H139" s="312">
        <v>126238500</v>
      </c>
      <c r="I139" s="306" t="s">
        <v>380</v>
      </c>
      <c r="J139" s="306" t="s">
        <v>381</v>
      </c>
      <c r="K139" s="306"/>
      <c r="L139" s="292">
        <v>2026</v>
      </c>
    </row>
    <row r="140" spans="2:12" ht="14.4" hidden="1">
      <c r="B140" s="292"/>
      <c r="C140" s="307" t="s">
        <v>373</v>
      </c>
      <c r="D140" s="311" t="e">
        <f ca="1">_xlfn.XLOOKUP(C140,'KODE PROJECT BARU'!$C$5:$C$98,'KODE PROJECT BARU'!$E$5:$E$98,"N/A",0,1)</f>
        <v>#NAME?</v>
      </c>
      <c r="E140" s="302" t="s">
        <v>378</v>
      </c>
      <c r="F140" s="306" t="s">
        <v>350</v>
      </c>
      <c r="G140" s="306" t="s">
        <v>379</v>
      </c>
      <c r="H140" s="312">
        <v>126238500</v>
      </c>
      <c r="I140" s="292" t="s">
        <v>359</v>
      </c>
      <c r="J140" s="306" t="s">
        <v>381</v>
      </c>
      <c r="K140" s="292"/>
      <c r="L140" s="292">
        <v>2026</v>
      </c>
    </row>
    <row r="141" spans="2:12" ht="14.4" hidden="1">
      <c r="B141" s="306"/>
      <c r="C141" s="307" t="s">
        <v>373</v>
      </c>
      <c r="D141" s="311" t="e">
        <f ca="1">_xlfn.XLOOKUP(C141,'KODE PROJECT BARU'!$C$5:$C$98,'KODE PROJECT BARU'!$E$5:$E$98,"N/A",0,1)</f>
        <v>#NAME?</v>
      </c>
      <c r="E141" s="310" t="s">
        <v>378</v>
      </c>
      <c r="F141" s="306" t="s">
        <v>350</v>
      </c>
      <c r="G141" s="306" t="s">
        <v>379</v>
      </c>
      <c r="H141" s="312">
        <v>126238500</v>
      </c>
      <c r="I141" s="306" t="s">
        <v>361</v>
      </c>
      <c r="J141" s="306" t="s">
        <v>381</v>
      </c>
      <c r="K141" s="306"/>
      <c r="L141" s="292">
        <v>2026</v>
      </c>
    </row>
    <row r="142" spans="2:12" ht="14.4" hidden="1">
      <c r="B142" s="306"/>
      <c r="C142" s="307" t="s">
        <v>373</v>
      </c>
      <c r="D142" s="311" t="e">
        <f ca="1">_xlfn.XLOOKUP(C142,'KODE PROJECT BARU'!$C$5:$C$98,'KODE PROJECT BARU'!$E$5:$E$98,"N/A",0,1)</f>
        <v>#NAME?</v>
      </c>
      <c r="E142" s="310" t="s">
        <v>382</v>
      </c>
      <c r="F142" s="306" t="s">
        <v>350</v>
      </c>
      <c r="G142" s="306" t="s">
        <v>379</v>
      </c>
      <c r="H142" s="312">
        <v>881998872</v>
      </c>
      <c r="I142" s="292" t="s">
        <v>380</v>
      </c>
      <c r="J142" s="306" t="s">
        <v>381</v>
      </c>
      <c r="K142" s="306"/>
      <c r="L142" s="292">
        <v>2026</v>
      </c>
    </row>
    <row r="143" spans="2:12" ht="14.4" hidden="1">
      <c r="B143" s="292"/>
      <c r="C143" s="307" t="s">
        <v>373</v>
      </c>
      <c r="D143" s="311" t="e">
        <f ca="1">_xlfn.XLOOKUP(C143,'KODE PROJECT BARU'!$C$5:$C$98,'KODE PROJECT BARU'!$E$5:$E$98,"N/A",0,1)</f>
        <v>#NAME?</v>
      </c>
      <c r="E143" s="302" t="s">
        <v>382</v>
      </c>
      <c r="F143" s="306" t="s">
        <v>350</v>
      </c>
      <c r="G143" s="306" t="s">
        <v>379</v>
      </c>
      <c r="H143" s="312">
        <v>881998872</v>
      </c>
      <c r="I143" s="260" t="s">
        <v>357</v>
      </c>
      <c r="J143" s="306" t="s">
        <v>381</v>
      </c>
      <c r="K143" s="292"/>
      <c r="L143" s="292">
        <v>2026</v>
      </c>
    </row>
    <row r="144" spans="2:12" ht="14.4" hidden="1">
      <c r="B144" s="292"/>
      <c r="C144" s="307" t="s">
        <v>373</v>
      </c>
      <c r="D144" s="311" t="e">
        <f ca="1">_xlfn.XLOOKUP(C144,'KODE PROJECT BARU'!$C$5:$C$98,'KODE PROJECT BARU'!$E$5:$E$98,"N/A",0,1)</f>
        <v>#NAME?</v>
      </c>
      <c r="E144" s="302" t="s">
        <v>382</v>
      </c>
      <c r="F144" s="306" t="s">
        <v>350</v>
      </c>
      <c r="G144" s="306" t="s">
        <v>379</v>
      </c>
      <c r="H144" s="312">
        <v>881998872</v>
      </c>
      <c r="I144" s="292" t="s">
        <v>358</v>
      </c>
      <c r="J144" s="306" t="s">
        <v>381</v>
      </c>
      <c r="K144" s="292"/>
      <c r="L144" s="292">
        <v>2026</v>
      </c>
    </row>
    <row r="145" spans="2:12" ht="14.4" hidden="1">
      <c r="B145" s="292"/>
      <c r="C145" s="307" t="s">
        <v>373</v>
      </c>
      <c r="D145" s="311" t="e">
        <f ca="1">_xlfn.XLOOKUP(C145,'KODE PROJECT BARU'!$C$5:$C$98,'KODE PROJECT BARU'!$E$5:$E$98,"N/A",0,1)</f>
        <v>#NAME?</v>
      </c>
      <c r="E145" s="302" t="s">
        <v>382</v>
      </c>
      <c r="F145" s="306" t="s">
        <v>350</v>
      </c>
      <c r="G145" s="306" t="s">
        <v>379</v>
      </c>
      <c r="H145" s="312">
        <v>881998872</v>
      </c>
      <c r="I145" s="292" t="s">
        <v>359</v>
      </c>
      <c r="J145" s="306" t="s">
        <v>381</v>
      </c>
      <c r="K145" s="292"/>
      <c r="L145" s="292">
        <v>2026</v>
      </c>
    </row>
    <row r="146" spans="2:12" ht="14.4" hidden="1">
      <c r="B146" s="292"/>
      <c r="C146" s="307" t="s">
        <v>373</v>
      </c>
      <c r="D146" s="311" t="e">
        <f ca="1">_xlfn.XLOOKUP(C146,'KODE PROJECT BARU'!$C$5:$C$98,'KODE PROJECT BARU'!$E$5:$E$98,"N/A",0,1)</f>
        <v>#NAME?</v>
      </c>
      <c r="E146" s="302" t="s">
        <v>382</v>
      </c>
      <c r="F146" s="306" t="s">
        <v>350</v>
      </c>
      <c r="G146" s="306" t="s">
        <v>379</v>
      </c>
      <c r="H146" s="312">
        <v>881998872</v>
      </c>
      <c r="I146" s="292" t="s">
        <v>360</v>
      </c>
      <c r="J146" s="306" t="s">
        <v>381</v>
      </c>
      <c r="K146" s="292"/>
      <c r="L146" s="292">
        <v>2026</v>
      </c>
    </row>
    <row r="147" spans="2:12" ht="14.4" hidden="1">
      <c r="B147" s="306"/>
      <c r="C147" s="307" t="s">
        <v>373</v>
      </c>
      <c r="D147" s="311" t="e">
        <f ca="1">_xlfn.XLOOKUP(C147,'KODE PROJECT BARU'!$C$5:$C$98,'KODE PROJECT BARU'!$E$5:$E$98,"N/A",0,1)</f>
        <v>#NAME?</v>
      </c>
      <c r="E147" s="310" t="s">
        <v>382</v>
      </c>
      <c r="F147" s="306" t="s">
        <v>350</v>
      </c>
      <c r="G147" s="306" t="s">
        <v>379</v>
      </c>
      <c r="H147" s="312">
        <v>881998872</v>
      </c>
      <c r="I147" s="306" t="s">
        <v>361</v>
      </c>
      <c r="J147" s="306" t="s">
        <v>381</v>
      </c>
      <c r="K147" s="306"/>
      <c r="L147" s="292">
        <v>2026</v>
      </c>
    </row>
    <row r="148" spans="2:12" ht="14.4" hidden="1">
      <c r="B148" s="306"/>
      <c r="C148" s="307" t="s">
        <v>373</v>
      </c>
      <c r="D148" s="311" t="e">
        <f ca="1">_xlfn.XLOOKUP(C148,'KODE PROJECT BARU'!$C$5:$C$98,'KODE PROJECT BARU'!$E$5:$E$98,"N/A",0,1)</f>
        <v>#NAME?</v>
      </c>
      <c r="E148" s="310" t="s">
        <v>387</v>
      </c>
      <c r="F148" s="306" t="s">
        <v>350</v>
      </c>
      <c r="G148" s="306" t="s">
        <v>379</v>
      </c>
      <c r="H148" s="312">
        <v>624404155</v>
      </c>
      <c r="I148" s="306" t="s">
        <v>361</v>
      </c>
      <c r="J148" s="306" t="s">
        <v>381</v>
      </c>
      <c r="K148" s="306"/>
      <c r="L148" s="292">
        <v>2026</v>
      </c>
    </row>
    <row r="149" spans="2:12" ht="14.4" hidden="1">
      <c r="B149" s="306"/>
      <c r="C149" s="307" t="s">
        <v>373</v>
      </c>
      <c r="D149" s="311" t="e">
        <f ca="1">_xlfn.XLOOKUP(C149,'KODE PROJECT BARU'!$C$5:$C$98,'KODE PROJECT BARU'!$E$5:$E$98,"N/A",0,1)</f>
        <v>#NAME?</v>
      </c>
      <c r="E149" s="310" t="s">
        <v>417</v>
      </c>
      <c r="F149" s="306" t="s">
        <v>350</v>
      </c>
      <c r="G149" s="306" t="s">
        <v>379</v>
      </c>
      <c r="H149" s="312">
        <v>481267407</v>
      </c>
      <c r="I149" s="306" t="s">
        <v>361</v>
      </c>
      <c r="J149" s="306" t="s">
        <v>381</v>
      </c>
      <c r="K149" s="306"/>
      <c r="L149" s="292">
        <v>2026</v>
      </c>
    </row>
    <row r="150" spans="2:12" ht="14.4" hidden="1">
      <c r="B150" s="306"/>
      <c r="C150" s="307" t="s">
        <v>373</v>
      </c>
      <c r="D150" s="311" t="e">
        <f ca="1">_xlfn.XLOOKUP(C150,'KODE PROJECT BARU'!$C$5:$C$98,'KODE PROJECT BARU'!$E$5:$E$98,"N/A",0,1)</f>
        <v>#NAME?</v>
      </c>
      <c r="E150" s="310" t="s">
        <v>385</v>
      </c>
      <c r="F150" s="306" t="s">
        <v>350</v>
      </c>
      <c r="G150" s="306" t="s">
        <v>379</v>
      </c>
      <c r="H150" s="312">
        <v>413269083</v>
      </c>
      <c r="I150" s="306" t="s">
        <v>361</v>
      </c>
      <c r="J150" s="306" t="s">
        <v>381</v>
      </c>
      <c r="K150" s="306"/>
      <c r="L150" s="292">
        <v>2026</v>
      </c>
    </row>
    <row r="151" spans="2:12" ht="14.4" hidden="1">
      <c r="B151" s="306"/>
      <c r="C151" s="307" t="s">
        <v>373</v>
      </c>
      <c r="D151" s="311" t="e">
        <f ca="1">_xlfn.XLOOKUP(C151,'KODE PROJECT BARU'!$C$5:$C$98,'KODE PROJECT BARU'!$E$5:$E$98,"N/A",0,1)</f>
        <v>#NAME?</v>
      </c>
      <c r="E151" s="310" t="s">
        <v>383</v>
      </c>
      <c r="F151" s="306" t="s">
        <v>350</v>
      </c>
      <c r="G151" s="306" t="s">
        <v>379</v>
      </c>
      <c r="H151" s="312">
        <v>59944913</v>
      </c>
      <c r="I151" s="306" t="s">
        <v>361</v>
      </c>
      <c r="J151" s="306" t="s">
        <v>381</v>
      </c>
      <c r="K151" s="306"/>
      <c r="L151" s="292">
        <v>2026</v>
      </c>
    </row>
    <row r="152" spans="2:12" ht="14.4" hidden="1">
      <c r="B152" s="306"/>
      <c r="C152" s="307" t="s">
        <v>418</v>
      </c>
      <c r="D152" s="311" t="e">
        <f ca="1">_xlfn.XLOOKUP(C152,'KODE PROJECT BARU'!$C$5:$C$98,'KODE PROJECT BARU'!$E$5:$E$98,"N/A",0,1)</f>
        <v>#NAME?</v>
      </c>
      <c r="E152" s="310" t="s">
        <v>384</v>
      </c>
      <c r="F152" s="306" t="s">
        <v>350</v>
      </c>
      <c r="G152" s="306" t="s">
        <v>379</v>
      </c>
      <c r="H152" s="312">
        <v>2137992</v>
      </c>
      <c r="I152" s="292" t="s">
        <v>380</v>
      </c>
      <c r="J152" s="306" t="s">
        <v>381</v>
      </c>
      <c r="K152" s="306"/>
      <c r="L152" s="292">
        <v>2026</v>
      </c>
    </row>
    <row r="153" spans="2:12" ht="14.4" hidden="1">
      <c r="B153" s="292"/>
      <c r="C153" s="307" t="s">
        <v>418</v>
      </c>
      <c r="D153" s="311" t="e">
        <f ca="1">_xlfn.XLOOKUP(C153,'KODE PROJECT BARU'!$C$5:$C$98,'KODE PROJECT BARU'!$E$5:$E$98,"N/A",0,1)</f>
        <v>#NAME?</v>
      </c>
      <c r="E153" s="302" t="s">
        <v>384</v>
      </c>
      <c r="F153" s="306" t="s">
        <v>350</v>
      </c>
      <c r="G153" s="306" t="s">
        <v>379</v>
      </c>
      <c r="H153" s="312">
        <v>2137992</v>
      </c>
      <c r="I153" s="260" t="s">
        <v>357</v>
      </c>
      <c r="J153" s="306" t="s">
        <v>381</v>
      </c>
      <c r="K153" s="292"/>
      <c r="L153" s="292">
        <v>2026</v>
      </c>
    </row>
    <row r="154" spans="2:12" ht="14.4" hidden="1">
      <c r="B154" s="292"/>
      <c r="C154" s="307" t="s">
        <v>418</v>
      </c>
      <c r="D154" s="311" t="e">
        <f ca="1">_xlfn.XLOOKUP(C154,'KODE PROJECT BARU'!$C$5:$C$98,'KODE PROJECT BARU'!$E$5:$E$98,"N/A",0,1)</f>
        <v>#NAME?</v>
      </c>
      <c r="E154" s="302" t="s">
        <v>384</v>
      </c>
      <c r="F154" s="306" t="s">
        <v>350</v>
      </c>
      <c r="G154" s="306" t="s">
        <v>379</v>
      </c>
      <c r="H154" s="312">
        <v>2137992</v>
      </c>
      <c r="I154" s="292" t="s">
        <v>358</v>
      </c>
      <c r="J154" s="306" t="s">
        <v>381</v>
      </c>
      <c r="K154" s="292"/>
      <c r="L154" s="292">
        <v>2026</v>
      </c>
    </row>
    <row r="155" spans="2:12" ht="14.4" hidden="1">
      <c r="B155" s="292"/>
      <c r="C155" s="307" t="s">
        <v>418</v>
      </c>
      <c r="D155" s="311" t="e">
        <f ca="1">_xlfn.XLOOKUP(C155,'KODE PROJECT BARU'!$C$5:$C$98,'KODE PROJECT BARU'!$E$5:$E$98,"N/A",0,1)</f>
        <v>#NAME?</v>
      </c>
      <c r="E155" s="302" t="s">
        <v>384</v>
      </c>
      <c r="F155" s="306" t="s">
        <v>350</v>
      </c>
      <c r="G155" s="306" t="s">
        <v>379</v>
      </c>
      <c r="H155" s="312">
        <v>2137992</v>
      </c>
      <c r="I155" s="292" t="s">
        <v>359</v>
      </c>
      <c r="J155" s="306" t="s">
        <v>381</v>
      </c>
      <c r="K155" s="292"/>
      <c r="L155" s="292">
        <v>2026</v>
      </c>
    </row>
    <row r="156" spans="2:12" ht="14.4" hidden="1">
      <c r="B156" s="292"/>
      <c r="C156" s="307" t="s">
        <v>418</v>
      </c>
      <c r="D156" s="311" t="e">
        <f ca="1">_xlfn.XLOOKUP(C156,'KODE PROJECT BARU'!$C$5:$C$98,'KODE PROJECT BARU'!$E$5:$E$98,"N/A",0,1)</f>
        <v>#NAME?</v>
      </c>
      <c r="E156" s="302" t="s">
        <v>384</v>
      </c>
      <c r="F156" s="306" t="s">
        <v>350</v>
      </c>
      <c r="G156" s="306" t="s">
        <v>379</v>
      </c>
      <c r="H156" s="312">
        <v>2137992</v>
      </c>
      <c r="I156" s="292" t="s">
        <v>360</v>
      </c>
      <c r="J156" s="306" t="s">
        <v>381</v>
      </c>
      <c r="K156" s="292"/>
      <c r="L156" s="292">
        <v>2026</v>
      </c>
    </row>
    <row r="157" spans="2:12" ht="14.4" hidden="1">
      <c r="B157" s="306"/>
      <c r="C157" s="307" t="s">
        <v>418</v>
      </c>
      <c r="D157" s="311" t="e">
        <f ca="1">_xlfn.XLOOKUP(C157,'KODE PROJECT BARU'!$C$5:$C$98,'KODE PROJECT BARU'!$E$5:$E$98,"N/A",0,1)</f>
        <v>#NAME?</v>
      </c>
      <c r="E157" s="310" t="s">
        <v>384</v>
      </c>
      <c r="F157" s="306" t="s">
        <v>350</v>
      </c>
      <c r="G157" s="306" t="s">
        <v>379</v>
      </c>
      <c r="H157" s="312">
        <v>2137992</v>
      </c>
      <c r="I157" s="306" t="s">
        <v>361</v>
      </c>
      <c r="J157" s="306" t="s">
        <v>381</v>
      </c>
      <c r="K157" s="306"/>
      <c r="L157" s="292">
        <v>2026</v>
      </c>
    </row>
    <row r="158" spans="2:12" ht="14.4" hidden="1">
      <c r="B158" s="306"/>
      <c r="C158" s="307" t="s">
        <v>418</v>
      </c>
      <c r="D158" s="311" t="e">
        <f ca="1">_xlfn.XLOOKUP(C158,'KODE PROJECT BARU'!$C$5:$C$98,'KODE PROJECT BARU'!$E$5:$E$98,"N/A",0,1)</f>
        <v>#NAME?</v>
      </c>
      <c r="E158" s="310" t="s">
        <v>378</v>
      </c>
      <c r="F158" s="306" t="s">
        <v>350</v>
      </c>
      <c r="G158" s="306" t="s">
        <v>379</v>
      </c>
      <c r="H158" s="312">
        <v>4675500</v>
      </c>
      <c r="I158" s="306" t="s">
        <v>380</v>
      </c>
      <c r="J158" s="306" t="s">
        <v>381</v>
      </c>
      <c r="K158" s="306"/>
      <c r="L158" s="292">
        <v>2026</v>
      </c>
    </row>
    <row r="159" spans="2:12" ht="14.4" hidden="1">
      <c r="B159" s="292"/>
      <c r="C159" s="307" t="s">
        <v>418</v>
      </c>
      <c r="D159" s="311" t="e">
        <f ca="1">_xlfn.XLOOKUP(C159,'KODE PROJECT BARU'!$C$5:$C$98,'KODE PROJECT BARU'!$E$5:$E$98,"N/A",0,1)</f>
        <v>#NAME?</v>
      </c>
      <c r="E159" s="302" t="s">
        <v>378</v>
      </c>
      <c r="F159" s="306" t="s">
        <v>350</v>
      </c>
      <c r="G159" s="306" t="s">
        <v>379</v>
      </c>
      <c r="H159" s="312">
        <v>4675500</v>
      </c>
      <c r="I159" s="292" t="s">
        <v>359</v>
      </c>
      <c r="J159" s="306" t="s">
        <v>381</v>
      </c>
      <c r="K159" s="292"/>
      <c r="L159" s="292">
        <v>2026</v>
      </c>
    </row>
    <row r="160" spans="2:12" ht="14.4" hidden="1">
      <c r="B160" s="292"/>
      <c r="C160" s="307" t="s">
        <v>418</v>
      </c>
      <c r="D160" s="311" t="e">
        <f ca="1">_xlfn.XLOOKUP(C160,'KODE PROJECT BARU'!$C$5:$C$98,'KODE PROJECT BARU'!$E$5:$E$98,"N/A",0,1)</f>
        <v>#NAME?</v>
      </c>
      <c r="E160" s="310" t="s">
        <v>378</v>
      </c>
      <c r="F160" s="306" t="s">
        <v>350</v>
      </c>
      <c r="G160" s="306" t="s">
        <v>379</v>
      </c>
      <c r="H160" s="312">
        <v>4675500</v>
      </c>
      <c r="I160" s="306" t="s">
        <v>361</v>
      </c>
      <c r="J160" s="306" t="s">
        <v>381</v>
      </c>
      <c r="K160" s="292"/>
      <c r="L160" s="292">
        <v>2026</v>
      </c>
    </row>
    <row r="161" spans="2:12" ht="14.4" hidden="1">
      <c r="B161" s="292"/>
      <c r="C161" s="307" t="s">
        <v>418</v>
      </c>
      <c r="D161" s="311" t="e">
        <f ca="1">_xlfn.XLOOKUP(C161,'KODE PROJECT BARU'!$C$5:$C$98,'KODE PROJECT BARU'!$E$5:$E$98,"N/A",0,1)</f>
        <v>#NAME?</v>
      </c>
      <c r="E161" s="310" t="s">
        <v>382</v>
      </c>
      <c r="F161" s="306" t="s">
        <v>350</v>
      </c>
      <c r="G161" s="306" t="s">
        <v>379</v>
      </c>
      <c r="H161" s="294">
        <v>29492295</v>
      </c>
      <c r="I161" s="292" t="s">
        <v>380</v>
      </c>
      <c r="J161" s="306" t="s">
        <v>381</v>
      </c>
      <c r="K161" s="292"/>
      <c r="L161" s="292">
        <v>2026</v>
      </c>
    </row>
    <row r="162" spans="2:12" ht="14.4" hidden="1">
      <c r="B162" s="292"/>
      <c r="C162" s="307" t="s">
        <v>418</v>
      </c>
      <c r="D162" s="311" t="e">
        <f ca="1">_xlfn.XLOOKUP(C162,'KODE PROJECT BARU'!$C$5:$C$98,'KODE PROJECT BARU'!$E$5:$E$98,"N/A",0,1)</f>
        <v>#NAME?</v>
      </c>
      <c r="E162" s="302" t="s">
        <v>382</v>
      </c>
      <c r="F162" s="306" t="s">
        <v>350</v>
      </c>
      <c r="G162" s="306" t="s">
        <v>379</v>
      </c>
      <c r="H162" s="294">
        <v>29492295</v>
      </c>
      <c r="I162" s="260" t="s">
        <v>357</v>
      </c>
      <c r="J162" s="306" t="s">
        <v>381</v>
      </c>
      <c r="K162" s="292"/>
      <c r="L162" s="292">
        <v>2026</v>
      </c>
    </row>
    <row r="163" spans="2:12" ht="14.4" hidden="1">
      <c r="B163" s="292"/>
      <c r="C163" s="307" t="s">
        <v>418</v>
      </c>
      <c r="D163" s="311" t="e">
        <f ca="1">_xlfn.XLOOKUP(C163,'KODE PROJECT BARU'!$C$5:$C$98,'KODE PROJECT BARU'!$E$5:$E$98,"N/A",0,1)</f>
        <v>#NAME?</v>
      </c>
      <c r="E163" s="302" t="s">
        <v>382</v>
      </c>
      <c r="F163" s="306" t="s">
        <v>350</v>
      </c>
      <c r="G163" s="306" t="s">
        <v>379</v>
      </c>
      <c r="H163" s="294">
        <v>29492295</v>
      </c>
      <c r="I163" s="292" t="s">
        <v>358</v>
      </c>
      <c r="J163" s="306" t="s">
        <v>381</v>
      </c>
      <c r="K163" s="292"/>
      <c r="L163" s="292">
        <v>2026</v>
      </c>
    </row>
    <row r="164" spans="2:12" ht="14.4" hidden="1">
      <c r="B164" s="292"/>
      <c r="C164" s="307" t="s">
        <v>418</v>
      </c>
      <c r="D164" s="311" t="e">
        <f ca="1">_xlfn.XLOOKUP(C164,'KODE PROJECT BARU'!$C$5:$C$98,'KODE PROJECT BARU'!$E$5:$E$98,"N/A",0,1)</f>
        <v>#NAME?</v>
      </c>
      <c r="E164" s="302" t="s">
        <v>382</v>
      </c>
      <c r="F164" s="306" t="s">
        <v>350</v>
      </c>
      <c r="G164" s="306" t="s">
        <v>379</v>
      </c>
      <c r="H164" s="294">
        <v>29492295</v>
      </c>
      <c r="I164" s="292" t="s">
        <v>359</v>
      </c>
      <c r="J164" s="306" t="s">
        <v>381</v>
      </c>
      <c r="K164" s="292"/>
      <c r="L164" s="292">
        <v>2026</v>
      </c>
    </row>
    <row r="165" spans="2:12" ht="14.4" hidden="1">
      <c r="B165" s="292"/>
      <c r="C165" s="307" t="s">
        <v>418</v>
      </c>
      <c r="D165" s="311" t="e">
        <f ca="1">_xlfn.XLOOKUP(C165,'KODE PROJECT BARU'!$C$5:$C$98,'KODE PROJECT BARU'!$E$5:$E$98,"N/A",0,1)</f>
        <v>#NAME?</v>
      </c>
      <c r="E165" s="302" t="s">
        <v>382</v>
      </c>
      <c r="F165" s="306" t="s">
        <v>350</v>
      </c>
      <c r="G165" s="306" t="s">
        <v>379</v>
      </c>
      <c r="H165" s="294">
        <v>29492295</v>
      </c>
      <c r="I165" s="292" t="s">
        <v>360</v>
      </c>
      <c r="J165" s="306" t="s">
        <v>381</v>
      </c>
      <c r="K165" s="292"/>
      <c r="L165" s="292">
        <v>2026</v>
      </c>
    </row>
    <row r="166" spans="2:12" ht="14.4" hidden="1">
      <c r="B166" s="292"/>
      <c r="C166" s="307" t="s">
        <v>418</v>
      </c>
      <c r="D166" s="311" t="e">
        <f ca="1">_xlfn.XLOOKUP(C166,'KODE PROJECT BARU'!$C$5:$C$98,'KODE PROJECT BARU'!$E$5:$E$98,"N/A",0,1)</f>
        <v>#NAME?</v>
      </c>
      <c r="E166" s="310" t="s">
        <v>382</v>
      </c>
      <c r="F166" s="306" t="s">
        <v>350</v>
      </c>
      <c r="G166" s="306" t="s">
        <v>379</v>
      </c>
      <c r="H166" s="294">
        <v>29492295</v>
      </c>
      <c r="I166" s="306" t="s">
        <v>361</v>
      </c>
      <c r="J166" s="306" t="s">
        <v>381</v>
      </c>
      <c r="K166" s="292"/>
      <c r="L166" s="292">
        <v>2026</v>
      </c>
    </row>
    <row r="167" spans="2:12" ht="14.4" hidden="1">
      <c r="B167" s="292"/>
      <c r="C167" s="307" t="s">
        <v>418</v>
      </c>
      <c r="D167" s="311" t="e">
        <f ca="1">_xlfn.XLOOKUP(C167,'KODE PROJECT BARU'!$C$5:$C$98,'KODE PROJECT BARU'!$E$5:$E$98,"N/A",0,1)</f>
        <v>#NAME?</v>
      </c>
      <c r="E167" s="310" t="s">
        <v>387</v>
      </c>
      <c r="F167" s="306" t="s">
        <v>350</v>
      </c>
      <c r="G167" s="306" t="s">
        <v>379</v>
      </c>
      <c r="H167" s="294">
        <v>20807845</v>
      </c>
      <c r="I167" s="306" t="s">
        <v>361</v>
      </c>
      <c r="J167" s="306" t="s">
        <v>381</v>
      </c>
      <c r="K167" s="292"/>
      <c r="L167" s="292">
        <v>2026</v>
      </c>
    </row>
    <row r="168" spans="2:12" ht="14.4" hidden="1">
      <c r="B168" s="292"/>
      <c r="C168" s="307" t="s">
        <v>418</v>
      </c>
      <c r="D168" s="311" t="e">
        <f ca="1">_xlfn.XLOOKUP(C168,'KODE PROJECT BARU'!$C$5:$C$98,'KODE PROJECT BARU'!$E$5:$E$98,"N/A",0,1)</f>
        <v>#NAME?</v>
      </c>
      <c r="E168" s="302" t="s">
        <v>385</v>
      </c>
      <c r="F168" s="306" t="s">
        <v>350</v>
      </c>
      <c r="G168" s="306" t="s">
        <v>379</v>
      </c>
      <c r="H168" s="294">
        <v>13943492</v>
      </c>
      <c r="I168" s="306" t="s">
        <v>361</v>
      </c>
      <c r="J168" s="306" t="s">
        <v>381</v>
      </c>
      <c r="K168" s="292"/>
      <c r="L168" s="292">
        <v>2026</v>
      </c>
    </row>
    <row r="169" spans="2:12" ht="14.4" hidden="1">
      <c r="B169" s="306"/>
      <c r="C169" s="307" t="s">
        <v>418</v>
      </c>
      <c r="D169" s="311" t="e">
        <f ca="1">_xlfn.XLOOKUP(C169,'KODE PROJECT BARU'!$C$5:$C$98,'KODE PROJECT BARU'!$E$5:$E$98,"N/A",0,1)</f>
        <v>#NAME?</v>
      </c>
      <c r="E169" s="310" t="s">
        <v>383</v>
      </c>
      <c r="F169" s="306" t="s">
        <v>350</v>
      </c>
      <c r="G169" s="306" t="s">
        <v>379</v>
      </c>
      <c r="H169" s="312">
        <v>4388211</v>
      </c>
      <c r="I169" s="306" t="s">
        <v>361</v>
      </c>
      <c r="J169" s="306" t="s">
        <v>381</v>
      </c>
      <c r="K169" s="306"/>
      <c r="L169" s="292">
        <v>2026</v>
      </c>
    </row>
    <row r="170" spans="2:12" ht="14.4" hidden="1">
      <c r="B170" s="306"/>
      <c r="C170" s="307" t="s">
        <v>419</v>
      </c>
      <c r="D170" s="311" t="e">
        <f ca="1">_xlfn.XLOOKUP(C170,'KODE PROJECT BARU'!$C$5:$C$98,'KODE PROJECT BARU'!$E$5:$E$98,"N/A",0,1)</f>
        <v>#NAME?</v>
      </c>
      <c r="E170" s="310" t="s">
        <v>378</v>
      </c>
      <c r="F170" s="306" t="s">
        <v>350</v>
      </c>
      <c r="G170" s="306" t="s">
        <v>379</v>
      </c>
      <c r="H170" s="312">
        <v>3117000</v>
      </c>
      <c r="I170" s="306" t="s">
        <v>380</v>
      </c>
      <c r="J170" s="306" t="s">
        <v>381</v>
      </c>
      <c r="K170" s="306"/>
      <c r="L170" s="292">
        <v>2026</v>
      </c>
    </row>
    <row r="171" spans="2:12" ht="14.4" hidden="1">
      <c r="B171" s="306"/>
      <c r="C171" s="307" t="s">
        <v>419</v>
      </c>
      <c r="D171" s="311" t="e">
        <f ca="1">_xlfn.XLOOKUP(C171,'KODE PROJECT BARU'!$C$5:$C$98,'KODE PROJECT BARU'!$E$5:$E$98,"N/A",0,1)</f>
        <v>#NAME?</v>
      </c>
      <c r="E171" s="310" t="s">
        <v>378</v>
      </c>
      <c r="F171" s="306" t="s">
        <v>350</v>
      </c>
      <c r="G171" s="306" t="s">
        <v>379</v>
      </c>
      <c r="H171" s="312">
        <v>3117000</v>
      </c>
      <c r="I171" s="292" t="s">
        <v>359</v>
      </c>
      <c r="J171" s="306" t="s">
        <v>381</v>
      </c>
      <c r="K171" s="306"/>
      <c r="L171" s="292">
        <v>2026</v>
      </c>
    </row>
    <row r="172" spans="2:12" ht="14.4" hidden="1">
      <c r="B172" s="306"/>
      <c r="C172" s="307" t="s">
        <v>419</v>
      </c>
      <c r="D172" s="311" t="e">
        <f ca="1">_xlfn.XLOOKUP(C172,'KODE PROJECT BARU'!$C$5:$C$98,'KODE PROJECT BARU'!$E$5:$E$98,"N/A",0,1)</f>
        <v>#NAME?</v>
      </c>
      <c r="E172" s="310" t="s">
        <v>378</v>
      </c>
      <c r="F172" s="306" t="s">
        <v>350</v>
      </c>
      <c r="G172" s="306" t="s">
        <v>379</v>
      </c>
      <c r="H172" s="312">
        <v>3117000</v>
      </c>
      <c r="I172" s="306" t="s">
        <v>361</v>
      </c>
      <c r="J172" s="306" t="s">
        <v>381</v>
      </c>
      <c r="K172" s="306"/>
      <c r="L172" s="292">
        <v>2026</v>
      </c>
    </row>
    <row r="173" spans="2:12" ht="14.4" hidden="1">
      <c r="B173" s="306"/>
      <c r="C173" s="307" t="s">
        <v>419</v>
      </c>
      <c r="D173" s="311" t="e">
        <f ca="1">_xlfn.XLOOKUP(C173,'KODE PROJECT BARU'!$C$5:$C$98,'KODE PROJECT BARU'!$E$5:$E$98,"N/A",0,1)</f>
        <v>#NAME?</v>
      </c>
      <c r="E173" s="310" t="s">
        <v>382</v>
      </c>
      <c r="F173" s="306" t="s">
        <v>350</v>
      </c>
      <c r="G173" s="306" t="s">
        <v>379</v>
      </c>
      <c r="H173" s="312">
        <v>17675779</v>
      </c>
      <c r="I173" s="292" t="s">
        <v>380</v>
      </c>
      <c r="J173" s="306" t="s">
        <v>381</v>
      </c>
      <c r="K173" s="306"/>
      <c r="L173" s="292">
        <v>2026</v>
      </c>
    </row>
    <row r="174" spans="2:12" ht="14.4" hidden="1">
      <c r="B174" s="292"/>
      <c r="C174" s="307" t="s">
        <v>419</v>
      </c>
      <c r="D174" s="311" t="e">
        <f ca="1">_xlfn.XLOOKUP(C174,'KODE PROJECT BARU'!$C$5:$C$98,'KODE PROJECT BARU'!$E$5:$E$98,"N/A",0,1)</f>
        <v>#NAME?</v>
      </c>
      <c r="E174" s="302" t="s">
        <v>382</v>
      </c>
      <c r="F174" s="306" t="s">
        <v>350</v>
      </c>
      <c r="G174" s="306" t="s">
        <v>379</v>
      </c>
      <c r="H174" s="312">
        <v>17675779</v>
      </c>
      <c r="I174" s="260" t="s">
        <v>357</v>
      </c>
      <c r="J174" s="306" t="s">
        <v>381</v>
      </c>
      <c r="K174" s="292"/>
      <c r="L174" s="292">
        <v>2026</v>
      </c>
    </row>
    <row r="175" spans="2:12" ht="14.4" hidden="1">
      <c r="B175" s="292"/>
      <c r="C175" s="307" t="s">
        <v>419</v>
      </c>
      <c r="D175" s="311" t="e">
        <f ca="1">_xlfn.XLOOKUP(C175,'KODE PROJECT BARU'!$C$5:$C$98,'KODE PROJECT BARU'!$E$5:$E$98,"N/A",0,1)</f>
        <v>#NAME?</v>
      </c>
      <c r="E175" s="302" t="s">
        <v>382</v>
      </c>
      <c r="F175" s="306" t="s">
        <v>350</v>
      </c>
      <c r="G175" s="306" t="s">
        <v>379</v>
      </c>
      <c r="H175" s="312">
        <v>17675779</v>
      </c>
      <c r="I175" s="292" t="s">
        <v>358</v>
      </c>
      <c r="J175" s="306" t="s">
        <v>381</v>
      </c>
      <c r="K175" s="292"/>
      <c r="L175" s="292">
        <v>2026</v>
      </c>
    </row>
    <row r="176" spans="2:12" ht="14.4" hidden="1">
      <c r="B176" s="292"/>
      <c r="C176" s="307" t="s">
        <v>419</v>
      </c>
      <c r="D176" s="311" t="e">
        <f ca="1">_xlfn.XLOOKUP(C176,'KODE PROJECT BARU'!$C$5:$C$98,'KODE PROJECT BARU'!$E$5:$E$98,"N/A",0,1)</f>
        <v>#NAME?</v>
      </c>
      <c r="E176" s="302" t="s">
        <v>382</v>
      </c>
      <c r="F176" s="306" t="s">
        <v>350</v>
      </c>
      <c r="G176" s="306" t="s">
        <v>379</v>
      </c>
      <c r="H176" s="312">
        <v>17675779</v>
      </c>
      <c r="I176" s="292" t="s">
        <v>359</v>
      </c>
      <c r="J176" s="306" t="s">
        <v>381</v>
      </c>
      <c r="K176" s="292"/>
      <c r="L176" s="292">
        <v>2026</v>
      </c>
    </row>
    <row r="177" spans="2:12" ht="14.4" hidden="1">
      <c r="B177" s="292"/>
      <c r="C177" s="307" t="s">
        <v>419</v>
      </c>
      <c r="D177" s="311" t="e">
        <f ca="1">_xlfn.XLOOKUP(C177,'KODE PROJECT BARU'!$C$5:$C$98,'KODE PROJECT BARU'!$E$5:$E$98,"N/A",0,1)</f>
        <v>#NAME?</v>
      </c>
      <c r="E177" s="302" t="s">
        <v>382</v>
      </c>
      <c r="F177" s="306" t="s">
        <v>350</v>
      </c>
      <c r="G177" s="306" t="s">
        <v>379</v>
      </c>
      <c r="H177" s="312">
        <v>17675779</v>
      </c>
      <c r="I177" s="292" t="s">
        <v>360</v>
      </c>
      <c r="J177" s="306" t="s">
        <v>381</v>
      </c>
      <c r="K177" s="292"/>
      <c r="L177" s="292">
        <v>2026</v>
      </c>
    </row>
    <row r="178" spans="2:12" ht="14.4" hidden="1">
      <c r="B178" s="306"/>
      <c r="C178" s="307" t="s">
        <v>419</v>
      </c>
      <c r="D178" s="311" t="e">
        <f ca="1">_xlfn.XLOOKUP(C178,'KODE PROJECT BARU'!$C$5:$C$98,'KODE PROJECT BARU'!$E$5:$E$98,"N/A",0,1)</f>
        <v>#NAME?</v>
      </c>
      <c r="E178" s="310" t="s">
        <v>382</v>
      </c>
      <c r="F178" s="306" t="s">
        <v>350</v>
      </c>
      <c r="G178" s="306" t="s">
        <v>379</v>
      </c>
      <c r="H178" s="312">
        <v>17675779</v>
      </c>
      <c r="I178" s="306" t="s">
        <v>361</v>
      </c>
      <c r="J178" s="306" t="s">
        <v>381</v>
      </c>
      <c r="K178" s="306"/>
      <c r="L178" s="292">
        <v>2026</v>
      </c>
    </row>
    <row r="179" spans="2:12" ht="14.4" hidden="1">
      <c r="B179" s="306"/>
      <c r="C179" s="307" t="s">
        <v>419</v>
      </c>
      <c r="D179" s="311" t="e">
        <f ca="1">_xlfn.XLOOKUP(C179,'KODE PROJECT BARU'!$C$5:$C$98,'KODE PROJECT BARU'!$E$5:$E$98,"N/A",0,1)</f>
        <v>#NAME?</v>
      </c>
      <c r="E179" s="310" t="s">
        <v>387</v>
      </c>
      <c r="F179" s="306" t="s">
        <v>350</v>
      </c>
      <c r="G179" s="306" t="s">
        <v>379</v>
      </c>
      <c r="H179" s="312">
        <v>13907462</v>
      </c>
      <c r="I179" s="306" t="s">
        <v>361</v>
      </c>
      <c r="J179" s="306" t="s">
        <v>381</v>
      </c>
      <c r="K179" s="306"/>
      <c r="L179" s="292">
        <v>2026</v>
      </c>
    </row>
    <row r="180" spans="2:12" ht="14.4" hidden="1">
      <c r="B180" s="306"/>
      <c r="C180" s="307" t="s">
        <v>420</v>
      </c>
      <c r="D180" s="311" t="e">
        <f ca="1">_xlfn.XLOOKUP(C180,'KODE PROJECT BARU'!$C$5:$C$98,'KODE PROJECT BARU'!$E$5:$E$98,"N/A",0,1)</f>
        <v>#NAME?</v>
      </c>
      <c r="E180" s="310" t="s">
        <v>378</v>
      </c>
      <c r="F180" s="306" t="s">
        <v>350</v>
      </c>
      <c r="G180" s="306" t="s">
        <v>379</v>
      </c>
      <c r="H180" s="312">
        <v>21819000</v>
      </c>
      <c r="I180" s="306" t="s">
        <v>380</v>
      </c>
      <c r="J180" s="306" t="s">
        <v>381</v>
      </c>
      <c r="K180" s="306"/>
      <c r="L180" s="292">
        <v>2026</v>
      </c>
    </row>
    <row r="181" spans="2:12" ht="14.4" hidden="1">
      <c r="B181" s="292"/>
      <c r="C181" s="307" t="s">
        <v>420</v>
      </c>
      <c r="D181" s="311" t="e">
        <f ca="1">_xlfn.XLOOKUP(C181,'KODE PROJECT BARU'!$C$5:$C$98,'KODE PROJECT BARU'!$E$5:$E$98,"N/A",0,1)</f>
        <v>#NAME?</v>
      </c>
      <c r="E181" s="310" t="s">
        <v>378</v>
      </c>
      <c r="F181" s="306" t="s">
        <v>350</v>
      </c>
      <c r="G181" s="306" t="s">
        <v>379</v>
      </c>
      <c r="H181" s="312">
        <v>21819000</v>
      </c>
      <c r="I181" s="292" t="s">
        <v>359</v>
      </c>
      <c r="J181" s="306" t="s">
        <v>381</v>
      </c>
      <c r="K181" s="306"/>
      <c r="L181" s="292">
        <v>2026</v>
      </c>
    </row>
    <row r="182" spans="2:12" ht="14.4" hidden="1">
      <c r="B182" s="292"/>
      <c r="C182" s="307" t="s">
        <v>420</v>
      </c>
      <c r="D182" s="311" t="e">
        <f ca="1">_xlfn.XLOOKUP(C182,'KODE PROJECT BARU'!$C$5:$C$98,'KODE PROJECT BARU'!$E$5:$E$98,"N/A",0,1)</f>
        <v>#NAME?</v>
      </c>
      <c r="E182" s="310" t="s">
        <v>378</v>
      </c>
      <c r="F182" s="306" t="s">
        <v>350</v>
      </c>
      <c r="G182" s="306" t="s">
        <v>379</v>
      </c>
      <c r="H182" s="312">
        <v>21819000</v>
      </c>
      <c r="I182" s="306" t="s">
        <v>361</v>
      </c>
      <c r="J182" s="306" t="s">
        <v>381</v>
      </c>
      <c r="K182" s="306"/>
      <c r="L182" s="292">
        <v>2026</v>
      </c>
    </row>
    <row r="183" spans="2:12" ht="14.4" hidden="1">
      <c r="B183" s="292"/>
      <c r="C183" s="307" t="s">
        <v>420</v>
      </c>
      <c r="D183" s="311" t="e">
        <f ca="1">_xlfn.XLOOKUP(C183,'KODE PROJECT BARU'!$C$5:$C$98,'KODE PROJECT BARU'!$E$5:$E$98,"N/A",0,1)</f>
        <v>#NAME?</v>
      </c>
      <c r="E183" s="310" t="s">
        <v>382</v>
      </c>
      <c r="F183" s="306" t="s">
        <v>350</v>
      </c>
      <c r="G183" s="306" t="s">
        <v>379</v>
      </c>
      <c r="H183" s="312">
        <v>184474531</v>
      </c>
      <c r="I183" s="292" t="s">
        <v>380</v>
      </c>
      <c r="J183" s="306" t="s">
        <v>381</v>
      </c>
      <c r="K183" s="306"/>
      <c r="L183" s="292">
        <v>2026</v>
      </c>
    </row>
    <row r="184" spans="2:12" ht="14.4" hidden="1">
      <c r="B184" s="292"/>
      <c r="C184" s="307" t="s">
        <v>420</v>
      </c>
      <c r="D184" s="311" t="e">
        <f ca="1">_xlfn.XLOOKUP(C184,'KODE PROJECT BARU'!$C$5:$C$98,'KODE PROJECT BARU'!$E$5:$E$98,"N/A",0,1)</f>
        <v>#NAME?</v>
      </c>
      <c r="E184" s="302" t="s">
        <v>382</v>
      </c>
      <c r="F184" s="306" t="s">
        <v>350</v>
      </c>
      <c r="G184" s="306" t="s">
        <v>379</v>
      </c>
      <c r="H184" s="312">
        <v>184474531</v>
      </c>
      <c r="I184" s="260" t="s">
        <v>357</v>
      </c>
      <c r="J184" s="306" t="s">
        <v>381</v>
      </c>
      <c r="K184" s="292"/>
      <c r="L184" s="292">
        <v>2026</v>
      </c>
    </row>
    <row r="185" spans="2:12" ht="14.4" hidden="1">
      <c r="B185" s="292"/>
      <c r="C185" s="307" t="s">
        <v>420</v>
      </c>
      <c r="D185" s="311" t="e">
        <f ca="1">_xlfn.XLOOKUP(C185,'KODE PROJECT BARU'!$C$5:$C$98,'KODE PROJECT BARU'!$E$5:$E$98,"N/A",0,1)</f>
        <v>#NAME?</v>
      </c>
      <c r="E185" s="302" t="s">
        <v>382</v>
      </c>
      <c r="F185" s="306" t="s">
        <v>350</v>
      </c>
      <c r="G185" s="306" t="s">
        <v>379</v>
      </c>
      <c r="H185" s="312">
        <v>184474531</v>
      </c>
      <c r="I185" s="292" t="s">
        <v>358</v>
      </c>
      <c r="J185" s="306" t="s">
        <v>381</v>
      </c>
      <c r="K185" s="292"/>
      <c r="L185" s="292">
        <v>2026</v>
      </c>
    </row>
    <row r="186" spans="2:12" ht="14.4" hidden="1">
      <c r="B186" s="292"/>
      <c r="C186" s="307" t="s">
        <v>420</v>
      </c>
      <c r="D186" s="311" t="e">
        <f ca="1">_xlfn.XLOOKUP(C186,'KODE PROJECT BARU'!$C$5:$C$98,'KODE PROJECT BARU'!$E$5:$E$98,"N/A",0,1)</f>
        <v>#NAME?</v>
      </c>
      <c r="E186" s="302" t="s">
        <v>382</v>
      </c>
      <c r="F186" s="306" t="s">
        <v>350</v>
      </c>
      <c r="G186" s="306" t="s">
        <v>379</v>
      </c>
      <c r="H186" s="312">
        <v>184474531</v>
      </c>
      <c r="I186" s="292" t="s">
        <v>359</v>
      </c>
      <c r="J186" s="306" t="s">
        <v>381</v>
      </c>
      <c r="K186" s="292"/>
      <c r="L186" s="292">
        <v>2026</v>
      </c>
    </row>
    <row r="187" spans="2:12" ht="14.4" hidden="1">
      <c r="B187" s="292"/>
      <c r="C187" s="307" t="s">
        <v>420</v>
      </c>
      <c r="D187" s="311" t="e">
        <f ca="1">_xlfn.XLOOKUP(C187,'KODE PROJECT BARU'!$C$5:$C$98,'KODE PROJECT BARU'!$E$5:$E$98,"N/A",0,1)</f>
        <v>#NAME?</v>
      </c>
      <c r="E187" s="302" t="s">
        <v>382</v>
      </c>
      <c r="F187" s="306" t="s">
        <v>350</v>
      </c>
      <c r="G187" s="306" t="s">
        <v>379</v>
      </c>
      <c r="H187" s="312">
        <v>184474531</v>
      </c>
      <c r="I187" s="292" t="s">
        <v>360</v>
      </c>
      <c r="J187" s="306" t="s">
        <v>381</v>
      </c>
      <c r="K187" s="292"/>
      <c r="L187" s="292">
        <v>2026</v>
      </c>
    </row>
    <row r="188" spans="2:12" ht="14.4" hidden="1">
      <c r="B188" s="292"/>
      <c r="C188" s="307" t="s">
        <v>420</v>
      </c>
      <c r="D188" s="311" t="e">
        <f ca="1">_xlfn.XLOOKUP(C188,'KODE PROJECT BARU'!$C$5:$C$98,'KODE PROJECT BARU'!$E$5:$E$98,"N/A",0,1)</f>
        <v>#NAME?</v>
      </c>
      <c r="E188" s="310" t="s">
        <v>382</v>
      </c>
      <c r="F188" s="306" t="s">
        <v>350</v>
      </c>
      <c r="G188" s="306" t="s">
        <v>379</v>
      </c>
      <c r="H188" s="312">
        <v>184474531</v>
      </c>
      <c r="I188" s="306" t="s">
        <v>361</v>
      </c>
      <c r="J188" s="306" t="s">
        <v>381</v>
      </c>
      <c r="K188" s="306"/>
      <c r="L188" s="292">
        <v>2026</v>
      </c>
    </row>
    <row r="189" spans="2:12" ht="14.4" hidden="1">
      <c r="B189" s="306"/>
      <c r="C189" s="307" t="s">
        <v>420</v>
      </c>
      <c r="D189" s="311" t="e">
        <f ca="1">_xlfn.XLOOKUP(C189,'KODE PROJECT BARU'!$C$5:$C$98,'KODE PROJECT BARU'!$E$5:$E$98,"N/A",0,1)</f>
        <v>#NAME?</v>
      </c>
      <c r="E189" s="310" t="s">
        <v>387</v>
      </c>
      <c r="F189" s="306" t="s">
        <v>350</v>
      </c>
      <c r="G189" s="306" t="s">
        <v>379</v>
      </c>
      <c r="H189" s="312">
        <v>132343057</v>
      </c>
      <c r="I189" s="306" t="s">
        <v>361</v>
      </c>
      <c r="J189" s="306" t="s">
        <v>381</v>
      </c>
      <c r="K189" s="306"/>
      <c r="L189" s="292">
        <v>2026</v>
      </c>
    </row>
    <row r="190" spans="2:12" ht="14.4" hidden="1">
      <c r="B190" s="306"/>
      <c r="C190" s="307" t="s">
        <v>420</v>
      </c>
      <c r="D190" s="311" t="e">
        <f ca="1">_xlfn.XLOOKUP(C190,'KODE PROJECT BARU'!$C$5:$C$98,'KODE PROJECT BARU'!$E$5:$E$98,"N/A",0,1)</f>
        <v>#NAME?</v>
      </c>
      <c r="E190" s="310" t="s">
        <v>385</v>
      </c>
      <c r="F190" s="306" t="s">
        <v>350</v>
      </c>
      <c r="G190" s="306" t="s">
        <v>379</v>
      </c>
      <c r="H190" s="312">
        <v>108643900</v>
      </c>
      <c r="I190" s="306" t="s">
        <v>361</v>
      </c>
      <c r="J190" s="306" t="s">
        <v>381</v>
      </c>
      <c r="K190" s="306"/>
      <c r="L190" s="292">
        <v>2026</v>
      </c>
    </row>
    <row r="191" spans="2:12" ht="14.4" hidden="1">
      <c r="B191" s="306"/>
      <c r="C191" s="307" t="s">
        <v>420</v>
      </c>
      <c r="D191" s="311" t="e">
        <f ca="1">_xlfn.XLOOKUP(C191,'KODE PROJECT BARU'!$C$5:$C$98,'KODE PROJECT BARU'!$E$5:$E$98,"N/A",0,1)</f>
        <v>#NAME?</v>
      </c>
      <c r="E191" s="310" t="s">
        <v>383</v>
      </c>
      <c r="F191" s="306" t="s">
        <v>350</v>
      </c>
      <c r="G191" s="306" t="s">
        <v>379</v>
      </c>
      <c r="H191" s="312">
        <v>13331922</v>
      </c>
      <c r="I191" s="306" t="s">
        <v>361</v>
      </c>
      <c r="J191" s="306" t="s">
        <v>381</v>
      </c>
      <c r="K191" s="306"/>
      <c r="L191" s="292">
        <v>2026</v>
      </c>
    </row>
    <row r="192" spans="2:12" ht="14.4" hidden="1">
      <c r="B192" s="306"/>
      <c r="C192" s="307" t="s">
        <v>420</v>
      </c>
      <c r="D192" s="311" t="e">
        <f ca="1">_xlfn.XLOOKUP(C192,'KODE PROJECT BARU'!$C$5:$C$98,'KODE PROJECT BARU'!$E$5:$E$98,"N/A",0,1)</f>
        <v>#NAME?</v>
      </c>
      <c r="E192" s="310" t="s">
        <v>421</v>
      </c>
      <c r="F192" s="306" t="s">
        <v>350</v>
      </c>
      <c r="G192" s="306" t="s">
        <v>379</v>
      </c>
      <c r="H192" s="312">
        <v>226850065</v>
      </c>
      <c r="I192" s="306" t="s">
        <v>380</v>
      </c>
      <c r="J192" s="306" t="s">
        <v>381</v>
      </c>
      <c r="K192" s="306"/>
      <c r="L192" s="292">
        <v>2026</v>
      </c>
    </row>
    <row r="193" spans="2:12" ht="14.4" hidden="1">
      <c r="B193" s="306"/>
      <c r="C193" s="307" t="s">
        <v>422</v>
      </c>
      <c r="D193" s="311" t="e">
        <f ca="1">_xlfn.XLOOKUP(C193,'KODE PROJECT BARU'!$C$5:$C$98,'KODE PROJECT BARU'!$E$5:$E$98,"N/A",0,1)</f>
        <v>#NAME?</v>
      </c>
      <c r="E193" s="310" t="s">
        <v>384</v>
      </c>
      <c r="F193" s="306" t="s">
        <v>350</v>
      </c>
      <c r="G193" s="306" t="s">
        <v>379</v>
      </c>
      <c r="H193" s="312">
        <v>6088574</v>
      </c>
      <c r="I193" s="260" t="s">
        <v>380</v>
      </c>
      <c r="J193" s="306" t="s">
        <v>381</v>
      </c>
      <c r="K193" s="306"/>
      <c r="L193" s="292">
        <v>2026</v>
      </c>
    </row>
    <row r="194" spans="2:12" ht="14.4" hidden="1">
      <c r="B194" s="292"/>
      <c r="C194" s="307" t="s">
        <v>422</v>
      </c>
      <c r="D194" s="311" t="e">
        <f ca="1">_xlfn.XLOOKUP(C194,'KODE PROJECT BARU'!$C$5:$C$98,'KODE PROJECT BARU'!$E$5:$E$98,"N/A",0,1)</f>
        <v>#NAME?</v>
      </c>
      <c r="E194" s="313" t="s">
        <v>384</v>
      </c>
      <c r="F194" s="307" t="s">
        <v>350</v>
      </c>
      <c r="G194" s="307" t="s">
        <v>379</v>
      </c>
      <c r="H194" s="314">
        <v>6088574</v>
      </c>
      <c r="I194" s="260" t="s">
        <v>357</v>
      </c>
      <c r="J194" s="306" t="s">
        <v>381</v>
      </c>
      <c r="K194" s="292"/>
      <c r="L194" s="292">
        <v>2026</v>
      </c>
    </row>
    <row r="195" spans="2:12" ht="14.4" hidden="1">
      <c r="B195" s="292"/>
      <c r="C195" s="307" t="s">
        <v>422</v>
      </c>
      <c r="D195" s="311" t="e">
        <f ca="1">_xlfn.XLOOKUP(C195,'KODE PROJECT BARU'!$C$5:$C$98,'KODE PROJECT BARU'!$E$5:$E$98,"N/A",0,1)</f>
        <v>#NAME?</v>
      </c>
      <c r="E195" s="313" t="s">
        <v>384</v>
      </c>
      <c r="F195" s="307" t="s">
        <v>350</v>
      </c>
      <c r="G195" s="307" t="s">
        <v>379</v>
      </c>
      <c r="H195" s="314">
        <v>6088574</v>
      </c>
      <c r="I195" s="260" t="s">
        <v>358</v>
      </c>
      <c r="J195" s="306" t="s">
        <v>381</v>
      </c>
      <c r="K195" s="292"/>
      <c r="L195" s="292">
        <v>2026</v>
      </c>
    </row>
    <row r="196" spans="2:12" ht="14.4" hidden="1">
      <c r="B196" s="292"/>
      <c r="C196" s="307" t="s">
        <v>422</v>
      </c>
      <c r="D196" s="311" t="e">
        <f ca="1">_xlfn.XLOOKUP(C196,'KODE PROJECT BARU'!$C$5:$C$98,'KODE PROJECT BARU'!$E$5:$E$98,"N/A",0,1)</f>
        <v>#NAME?</v>
      </c>
      <c r="E196" s="313" t="s">
        <v>384</v>
      </c>
      <c r="F196" s="307" t="s">
        <v>350</v>
      </c>
      <c r="G196" s="307" t="s">
        <v>379</v>
      </c>
      <c r="H196" s="314">
        <v>6088574</v>
      </c>
      <c r="I196" s="260" t="s">
        <v>359</v>
      </c>
      <c r="J196" s="306" t="s">
        <v>381</v>
      </c>
      <c r="K196" s="292"/>
      <c r="L196" s="292">
        <v>2026</v>
      </c>
    </row>
    <row r="197" spans="2:12" ht="14.4" hidden="1">
      <c r="B197" s="292"/>
      <c r="C197" s="307" t="s">
        <v>422</v>
      </c>
      <c r="D197" s="311" t="e">
        <f ca="1">_xlfn.XLOOKUP(C197,'KODE PROJECT BARU'!$C$5:$C$98,'KODE PROJECT BARU'!$E$5:$E$98,"N/A",0,1)</f>
        <v>#NAME?</v>
      </c>
      <c r="E197" s="313" t="s">
        <v>384</v>
      </c>
      <c r="F197" s="307" t="s">
        <v>350</v>
      </c>
      <c r="G197" s="307" t="s">
        <v>379</v>
      </c>
      <c r="H197" s="314">
        <v>6088574</v>
      </c>
      <c r="I197" s="260" t="s">
        <v>360</v>
      </c>
      <c r="J197" s="306" t="s">
        <v>381</v>
      </c>
      <c r="K197" s="292"/>
      <c r="L197" s="292">
        <v>2026</v>
      </c>
    </row>
    <row r="198" spans="2:12" ht="14.4" hidden="1">
      <c r="B198" s="292"/>
      <c r="C198" s="307" t="s">
        <v>422</v>
      </c>
      <c r="D198" s="311" t="e">
        <f ca="1">_xlfn.XLOOKUP(C198,'KODE PROJECT BARU'!$C$5:$C$98,'KODE PROJECT BARU'!$E$5:$E$98,"N/A",0,1)</f>
        <v>#NAME?</v>
      </c>
      <c r="E198" s="313" t="s">
        <v>384</v>
      </c>
      <c r="F198" s="307" t="s">
        <v>350</v>
      </c>
      <c r="G198" s="307" t="s">
        <v>379</v>
      </c>
      <c r="H198" s="314">
        <v>6088574</v>
      </c>
      <c r="I198" s="307" t="s">
        <v>361</v>
      </c>
      <c r="J198" s="306" t="s">
        <v>381</v>
      </c>
      <c r="K198" s="292"/>
      <c r="L198" s="292">
        <v>2026</v>
      </c>
    </row>
    <row r="199" spans="2:12" ht="14.4" hidden="1">
      <c r="B199" s="306"/>
      <c r="C199" s="307" t="s">
        <v>422</v>
      </c>
      <c r="D199" s="311" t="e">
        <f ca="1">_xlfn.XLOOKUP(C199,'KODE PROJECT BARU'!$C$5:$C$98,'KODE PROJECT BARU'!$E$5:$E$98,"N/A",0,1)</f>
        <v>#NAME?</v>
      </c>
      <c r="E199" s="310" t="s">
        <v>378</v>
      </c>
      <c r="F199" s="306" t="s">
        <v>350</v>
      </c>
      <c r="G199" s="306" t="s">
        <v>379</v>
      </c>
      <c r="H199" s="312">
        <v>3117000</v>
      </c>
      <c r="I199" s="306" t="s">
        <v>380</v>
      </c>
      <c r="J199" s="306" t="s">
        <v>381</v>
      </c>
      <c r="K199" s="306"/>
      <c r="L199" s="292">
        <v>2026</v>
      </c>
    </row>
    <row r="200" spans="2:12" ht="14.4" hidden="1">
      <c r="B200" s="306"/>
      <c r="C200" s="307" t="s">
        <v>422</v>
      </c>
      <c r="D200" s="311" t="e">
        <f ca="1">_xlfn.XLOOKUP(C200,'KODE PROJECT BARU'!$C$5:$C$98,'KODE PROJECT BARU'!$E$5:$E$98,"N/A",0,1)</f>
        <v>#NAME?</v>
      </c>
      <c r="E200" s="310" t="s">
        <v>378</v>
      </c>
      <c r="F200" s="306" t="s">
        <v>350</v>
      </c>
      <c r="G200" s="306" t="s">
        <v>379</v>
      </c>
      <c r="H200" s="312">
        <v>3117000</v>
      </c>
      <c r="I200" s="306" t="s">
        <v>359</v>
      </c>
      <c r="J200" s="306" t="s">
        <v>381</v>
      </c>
      <c r="K200" s="306"/>
      <c r="L200" s="292">
        <v>2026</v>
      </c>
    </row>
    <row r="201" spans="2:12" ht="14.4" hidden="1">
      <c r="B201" s="306"/>
      <c r="C201" s="307" t="s">
        <v>422</v>
      </c>
      <c r="D201" s="311" t="e">
        <f ca="1">_xlfn.XLOOKUP(C201,'KODE PROJECT BARU'!$C$5:$C$98,'KODE PROJECT BARU'!$E$5:$E$98,"N/A",0,1)</f>
        <v>#NAME?</v>
      </c>
      <c r="E201" s="310" t="s">
        <v>378</v>
      </c>
      <c r="F201" s="306" t="s">
        <v>350</v>
      </c>
      <c r="G201" s="306" t="s">
        <v>379</v>
      </c>
      <c r="H201" s="312">
        <v>3117000</v>
      </c>
      <c r="I201" s="306" t="s">
        <v>361</v>
      </c>
      <c r="J201" s="306" t="s">
        <v>381</v>
      </c>
      <c r="K201" s="306"/>
      <c r="L201" s="292">
        <v>2026</v>
      </c>
    </row>
    <row r="202" spans="2:12" ht="14.4" hidden="1">
      <c r="B202" s="306"/>
      <c r="C202" s="307" t="s">
        <v>422</v>
      </c>
      <c r="D202" s="311" t="e">
        <f ca="1">_xlfn.XLOOKUP(C202,'KODE PROJECT BARU'!$C$5:$C$98,'KODE PROJECT BARU'!$E$5:$E$98,"N/A",0,1)</f>
        <v>#NAME?</v>
      </c>
      <c r="E202" s="310" t="s">
        <v>382</v>
      </c>
      <c r="F202" s="306" t="s">
        <v>350</v>
      </c>
      <c r="G202" s="306" t="s">
        <v>379</v>
      </c>
      <c r="H202" s="312">
        <v>21177184</v>
      </c>
      <c r="I202" s="260" t="s">
        <v>380</v>
      </c>
      <c r="J202" s="306" t="s">
        <v>381</v>
      </c>
      <c r="K202" s="306"/>
      <c r="L202" s="292">
        <v>2026</v>
      </c>
    </row>
    <row r="203" spans="2:12" ht="14.4" hidden="1">
      <c r="B203" s="292"/>
      <c r="C203" s="307" t="s">
        <v>422</v>
      </c>
      <c r="D203" s="311" t="e">
        <f ca="1">_xlfn.XLOOKUP(C203,'KODE PROJECT BARU'!$C$5:$C$98,'KODE PROJECT BARU'!$E$5:$E$98,"N/A",0,1)</f>
        <v>#NAME?</v>
      </c>
      <c r="E203" s="313" t="s">
        <v>382</v>
      </c>
      <c r="F203" s="307" t="s">
        <v>350</v>
      </c>
      <c r="G203" s="307" t="s">
        <v>379</v>
      </c>
      <c r="H203" s="314">
        <v>21177184</v>
      </c>
      <c r="I203" s="260" t="s">
        <v>357</v>
      </c>
      <c r="J203" s="306" t="s">
        <v>381</v>
      </c>
      <c r="K203" s="292"/>
      <c r="L203" s="292">
        <v>2026</v>
      </c>
    </row>
    <row r="204" spans="2:12" ht="14.4" hidden="1">
      <c r="B204" s="292"/>
      <c r="C204" s="307" t="s">
        <v>422</v>
      </c>
      <c r="D204" s="311" t="e">
        <f ca="1">_xlfn.XLOOKUP(C204,'KODE PROJECT BARU'!$C$5:$C$98,'KODE PROJECT BARU'!$E$5:$E$98,"N/A",0,1)</f>
        <v>#NAME?</v>
      </c>
      <c r="E204" s="313" t="s">
        <v>382</v>
      </c>
      <c r="F204" s="307" t="s">
        <v>350</v>
      </c>
      <c r="G204" s="307" t="s">
        <v>379</v>
      </c>
      <c r="H204" s="314">
        <v>21177184</v>
      </c>
      <c r="I204" s="260" t="s">
        <v>358</v>
      </c>
      <c r="J204" s="306" t="s">
        <v>381</v>
      </c>
      <c r="K204" s="292"/>
      <c r="L204" s="292">
        <v>2026</v>
      </c>
    </row>
    <row r="205" spans="2:12" ht="14.4" hidden="1">
      <c r="B205" s="292"/>
      <c r="C205" s="307" t="s">
        <v>422</v>
      </c>
      <c r="D205" s="311" t="e">
        <f ca="1">_xlfn.XLOOKUP(C205,'KODE PROJECT BARU'!$C$5:$C$98,'KODE PROJECT BARU'!$E$5:$E$98,"N/A",0,1)</f>
        <v>#NAME?</v>
      </c>
      <c r="E205" s="313" t="s">
        <v>382</v>
      </c>
      <c r="F205" s="307" t="s">
        <v>350</v>
      </c>
      <c r="G205" s="307" t="s">
        <v>379</v>
      </c>
      <c r="H205" s="314">
        <v>21177184</v>
      </c>
      <c r="I205" s="260" t="s">
        <v>359</v>
      </c>
      <c r="J205" s="306" t="s">
        <v>381</v>
      </c>
      <c r="K205" s="292"/>
      <c r="L205" s="292">
        <v>2026</v>
      </c>
    </row>
    <row r="206" spans="2:12" ht="14.4" hidden="1">
      <c r="B206" s="292"/>
      <c r="C206" s="307" t="s">
        <v>422</v>
      </c>
      <c r="D206" s="311" t="e">
        <f ca="1">_xlfn.XLOOKUP(C206,'KODE PROJECT BARU'!$C$5:$C$98,'KODE PROJECT BARU'!$E$5:$E$98,"N/A",0,1)</f>
        <v>#NAME?</v>
      </c>
      <c r="E206" s="313" t="s">
        <v>382</v>
      </c>
      <c r="F206" s="307" t="s">
        <v>350</v>
      </c>
      <c r="G206" s="307" t="s">
        <v>379</v>
      </c>
      <c r="H206" s="314">
        <v>21177184</v>
      </c>
      <c r="I206" s="260" t="s">
        <v>360</v>
      </c>
      <c r="J206" s="306" t="s">
        <v>381</v>
      </c>
      <c r="K206" s="292"/>
      <c r="L206" s="292">
        <v>2026</v>
      </c>
    </row>
    <row r="207" spans="2:12" ht="14.4" hidden="1">
      <c r="B207" s="292"/>
      <c r="C207" s="307" t="s">
        <v>422</v>
      </c>
      <c r="D207" s="311" t="e">
        <f ca="1">_xlfn.XLOOKUP(C207,'KODE PROJECT BARU'!$C$5:$C$98,'KODE PROJECT BARU'!$E$5:$E$98,"N/A",0,1)</f>
        <v>#NAME?</v>
      </c>
      <c r="E207" s="313" t="s">
        <v>382</v>
      </c>
      <c r="F207" s="307" t="s">
        <v>350</v>
      </c>
      <c r="G207" s="307" t="s">
        <v>379</v>
      </c>
      <c r="H207" s="314">
        <v>21177184</v>
      </c>
      <c r="I207" s="307" t="s">
        <v>361</v>
      </c>
      <c r="J207" s="306" t="s">
        <v>381</v>
      </c>
      <c r="K207" s="292"/>
      <c r="L207" s="292">
        <v>2026</v>
      </c>
    </row>
    <row r="208" spans="2:12" ht="14.4" hidden="1">
      <c r="B208" s="306"/>
      <c r="C208" s="307" t="s">
        <v>422</v>
      </c>
      <c r="D208" s="311" t="e">
        <f ca="1">_xlfn.XLOOKUP(C208,'KODE PROJECT BARU'!$C$5:$C$98,'KODE PROJECT BARU'!$E$5:$E$98,"N/A",0,1)</f>
        <v>#NAME?</v>
      </c>
      <c r="E208" s="310" t="s">
        <v>387</v>
      </c>
      <c r="F208" s="306" t="s">
        <v>350</v>
      </c>
      <c r="G208" s="306" t="s">
        <v>379</v>
      </c>
      <c r="H208" s="312">
        <f>14545600*1.039</f>
        <v>15112878.399999999</v>
      </c>
      <c r="I208" s="306" t="s">
        <v>361</v>
      </c>
      <c r="J208" s="306" t="s">
        <v>381</v>
      </c>
      <c r="K208" s="306"/>
      <c r="L208" s="292">
        <v>2026</v>
      </c>
    </row>
    <row r="209" spans="2:12" ht="14.4" hidden="1">
      <c r="B209" s="306"/>
      <c r="C209" s="307" t="s">
        <v>422</v>
      </c>
      <c r="D209" s="311" t="e">
        <f ca="1">_xlfn.XLOOKUP(C209,'KODE PROJECT BARU'!$C$5:$C$98,'KODE PROJECT BARU'!$E$5:$E$98,"N/A",0,1)</f>
        <v>#NAME?</v>
      </c>
      <c r="E209" s="310" t="s">
        <v>385</v>
      </c>
      <c r="F209" s="306" t="s">
        <v>350</v>
      </c>
      <c r="G209" s="306" t="s">
        <v>379</v>
      </c>
      <c r="H209" s="312">
        <v>7826480</v>
      </c>
      <c r="I209" s="306" t="s">
        <v>361</v>
      </c>
      <c r="J209" s="306" t="s">
        <v>381</v>
      </c>
      <c r="K209" s="306"/>
      <c r="L209" s="292">
        <v>2026</v>
      </c>
    </row>
    <row r="210" spans="2:12" ht="14.4" hidden="1">
      <c r="B210" s="306"/>
      <c r="C210" s="307" t="s">
        <v>422</v>
      </c>
      <c r="D210" s="311" t="e">
        <f ca="1">_xlfn.XLOOKUP(C210,'KODE PROJECT BARU'!$C$5:$C$98,'KODE PROJECT BARU'!$E$5:$E$98,"N/A",0,1)</f>
        <v>#NAME?</v>
      </c>
      <c r="E210" s="310" t="s">
        <v>383</v>
      </c>
      <c r="F210" s="306" t="s">
        <v>350</v>
      </c>
      <c r="G210" s="306" t="s">
        <v>379</v>
      </c>
      <c r="H210" s="312">
        <v>3117000</v>
      </c>
      <c r="I210" s="306" t="s">
        <v>361</v>
      </c>
      <c r="J210" s="306" t="s">
        <v>381</v>
      </c>
      <c r="K210" s="306"/>
      <c r="L210" s="292">
        <v>2026</v>
      </c>
    </row>
    <row r="211" spans="2:12" ht="14.4" hidden="1">
      <c r="B211" s="292"/>
      <c r="C211" s="307" t="s">
        <v>423</v>
      </c>
      <c r="D211" s="311" t="e">
        <f ca="1">_xlfn.XLOOKUP(C211,'KODE PROJECT BARU'!$C$5:$C$98,'KODE PROJECT BARU'!$E$5:$E$98,"N/A",0,1)</f>
        <v>#NAME?</v>
      </c>
      <c r="E211" s="313" t="s">
        <v>374</v>
      </c>
      <c r="F211" s="307" t="s">
        <v>350</v>
      </c>
      <c r="G211" s="307" t="s">
        <v>379</v>
      </c>
      <c r="H211" s="314">
        <f>1558500+8544536</f>
        <v>10103036</v>
      </c>
      <c r="I211" s="307" t="s">
        <v>380</v>
      </c>
      <c r="J211" s="306" t="s">
        <v>381</v>
      </c>
      <c r="K211" s="292"/>
      <c r="L211" s="292">
        <v>2026</v>
      </c>
    </row>
    <row r="212" spans="2:12" ht="14.4" hidden="1">
      <c r="B212" s="292"/>
      <c r="C212" s="307" t="s">
        <v>423</v>
      </c>
      <c r="D212" s="311" t="e">
        <f ca="1">_xlfn.XLOOKUP(C212,'KODE PROJECT BARU'!$C$5:$C$98,'KODE PROJECT BARU'!$E$5:$E$98,"N/A",0,1)</f>
        <v>#NAME?</v>
      </c>
      <c r="E212" s="313" t="s">
        <v>374</v>
      </c>
      <c r="F212" s="307" t="s">
        <v>350</v>
      </c>
      <c r="G212" s="307" t="s">
        <v>379</v>
      </c>
      <c r="H212" s="314">
        <f>1558500+8544536</f>
        <v>10103036</v>
      </c>
      <c r="I212" s="307" t="s">
        <v>359</v>
      </c>
      <c r="J212" s="306" t="s">
        <v>381</v>
      </c>
      <c r="K212" s="292"/>
      <c r="L212" s="292">
        <v>2026</v>
      </c>
    </row>
    <row r="213" spans="2:12" ht="14.4" hidden="1">
      <c r="B213" s="292"/>
      <c r="C213" s="307" t="s">
        <v>423</v>
      </c>
      <c r="D213" s="311" t="e">
        <f ca="1">_xlfn.XLOOKUP(C213,'KODE PROJECT BARU'!$C$5:$C$98,'KODE PROJECT BARU'!$E$5:$E$98,"N/A",0,1)</f>
        <v>#NAME?</v>
      </c>
      <c r="E213" s="313" t="s">
        <v>374</v>
      </c>
      <c r="F213" s="307" t="s">
        <v>350</v>
      </c>
      <c r="G213" s="307" t="s">
        <v>379</v>
      </c>
      <c r="H213" s="314">
        <f>1558500+8544536+6638281</f>
        <v>16741317</v>
      </c>
      <c r="I213" s="307" t="s">
        <v>361</v>
      </c>
      <c r="J213" s="306" t="s">
        <v>381</v>
      </c>
      <c r="K213" s="292"/>
      <c r="L213" s="292">
        <v>2026</v>
      </c>
    </row>
    <row r="214" spans="2:12" ht="14.4" hidden="1">
      <c r="B214" s="535"/>
      <c r="C214" s="541"/>
      <c r="D214" s="542"/>
      <c r="E214" s="545"/>
      <c r="F214" s="541"/>
      <c r="G214" s="541"/>
      <c r="H214" s="546"/>
      <c r="I214" s="536"/>
      <c r="J214" s="540"/>
      <c r="K214" s="535"/>
      <c r="L214" s="535"/>
    </row>
    <row r="215" spans="2:12" ht="14.4" hidden="1">
      <c r="B215" s="292"/>
      <c r="C215" s="307" t="s">
        <v>423</v>
      </c>
      <c r="D215" s="311" t="e">
        <f ca="1">_xlfn.XLOOKUP(C215,'KODE PROJECT BARU'!$C$5:$C$98,'KODE PROJECT BARU'!$E$5:$E$98,"N/A",0,1)</f>
        <v>#NAME?</v>
      </c>
      <c r="E215" s="313" t="s">
        <v>374</v>
      </c>
      <c r="F215" s="307" t="s">
        <v>350</v>
      </c>
      <c r="G215" s="307" t="s">
        <v>379</v>
      </c>
      <c r="H215" s="314">
        <v>8544536</v>
      </c>
      <c r="I215" s="260" t="s">
        <v>357</v>
      </c>
      <c r="J215" s="306" t="s">
        <v>381</v>
      </c>
      <c r="K215" s="292"/>
      <c r="L215" s="292">
        <v>2026</v>
      </c>
    </row>
    <row r="216" spans="2:12" ht="14.4" hidden="1">
      <c r="B216" s="292"/>
      <c r="C216" s="307" t="s">
        <v>423</v>
      </c>
      <c r="D216" s="311" t="e">
        <f ca="1">_xlfn.XLOOKUP(C216,'KODE PROJECT BARU'!$C$5:$C$98,'KODE PROJECT BARU'!$E$5:$E$98,"N/A",0,1)</f>
        <v>#NAME?</v>
      </c>
      <c r="E216" s="313" t="s">
        <v>374</v>
      </c>
      <c r="F216" s="307" t="s">
        <v>350</v>
      </c>
      <c r="G216" s="307" t="s">
        <v>379</v>
      </c>
      <c r="H216" s="314">
        <v>8544536</v>
      </c>
      <c r="I216" s="260" t="s">
        <v>358</v>
      </c>
      <c r="J216" s="306" t="s">
        <v>381</v>
      </c>
      <c r="K216" s="292"/>
      <c r="L216" s="292">
        <v>2026</v>
      </c>
    </row>
    <row r="217" spans="2:12" ht="14.4" hidden="1">
      <c r="B217" s="535"/>
      <c r="C217" s="541"/>
      <c r="D217" s="542"/>
      <c r="E217" s="545"/>
      <c r="F217" s="541"/>
      <c r="G217" s="541"/>
      <c r="H217" s="546"/>
      <c r="I217" s="536"/>
      <c r="J217" s="540"/>
      <c r="K217" s="535"/>
      <c r="L217" s="535"/>
    </row>
    <row r="218" spans="2:12" ht="14.4" hidden="1">
      <c r="B218" s="292"/>
      <c r="C218" s="307" t="s">
        <v>423</v>
      </c>
      <c r="D218" s="311" t="e">
        <f ca="1">_xlfn.XLOOKUP(C218,'KODE PROJECT BARU'!$C$5:$C$98,'KODE PROJECT BARU'!$E$5:$E$98,"N/A",0,1)</f>
        <v>#NAME?</v>
      </c>
      <c r="E218" s="313" t="s">
        <v>374</v>
      </c>
      <c r="F218" s="307" t="s">
        <v>350</v>
      </c>
      <c r="G218" s="307" t="s">
        <v>379</v>
      </c>
      <c r="H218" s="314">
        <v>8544536</v>
      </c>
      <c r="I218" s="260" t="s">
        <v>360</v>
      </c>
      <c r="J218" s="306" t="s">
        <v>381</v>
      </c>
      <c r="K218" s="292"/>
      <c r="L218" s="292">
        <v>2026</v>
      </c>
    </row>
    <row r="219" spans="2:12" ht="14.4" hidden="1">
      <c r="B219" s="535"/>
      <c r="C219" s="541"/>
      <c r="D219" s="542"/>
      <c r="E219" s="545"/>
      <c r="F219" s="541"/>
      <c r="G219" s="541"/>
      <c r="H219" s="546"/>
      <c r="I219" s="541"/>
      <c r="J219" s="540"/>
      <c r="K219" s="535"/>
      <c r="L219" s="535"/>
    </row>
    <row r="220" spans="2:12" ht="14.4" hidden="1">
      <c r="B220" s="535"/>
      <c r="C220" s="541"/>
      <c r="D220" s="542"/>
      <c r="E220" s="545"/>
      <c r="F220" s="541"/>
      <c r="G220" s="541"/>
      <c r="H220" s="546"/>
      <c r="I220" s="541"/>
      <c r="J220" s="540"/>
      <c r="K220" s="535"/>
      <c r="L220" s="535"/>
    </row>
    <row r="221" spans="2:12" ht="14.4" hidden="1">
      <c r="B221" s="306"/>
      <c r="C221" s="307" t="s">
        <v>424</v>
      </c>
      <c r="D221" s="311" t="e">
        <f ca="1">_xlfn.XLOOKUP(C221,'KODE PROJECT BARU'!$C$5:$C$98,'KODE PROJECT BARU'!$E$5:$E$98,"N/A",0,1)</f>
        <v>#NAME?</v>
      </c>
      <c r="E221" s="310" t="s">
        <v>378</v>
      </c>
      <c r="F221" s="306" t="s">
        <v>350</v>
      </c>
      <c r="G221" s="306" t="s">
        <v>379</v>
      </c>
      <c r="H221" s="312">
        <v>1558500</v>
      </c>
      <c r="I221" s="306" t="s">
        <v>380</v>
      </c>
      <c r="J221" s="306" t="s">
        <v>381</v>
      </c>
      <c r="K221" s="306"/>
      <c r="L221" s="292">
        <v>2026</v>
      </c>
    </row>
    <row r="222" spans="2:12" ht="14.4" hidden="1">
      <c r="B222" s="260"/>
      <c r="C222" s="307" t="s">
        <v>424</v>
      </c>
      <c r="D222" s="311" t="e">
        <f ca="1">_xlfn.XLOOKUP(C222,'KODE PROJECT BARU'!$C$5:$C$98,'KODE PROJECT BARU'!$E$5:$E$98,"N/A",0,1)</f>
        <v>#NAME?</v>
      </c>
      <c r="E222" s="313" t="s">
        <v>378</v>
      </c>
      <c r="F222" s="307" t="s">
        <v>350</v>
      </c>
      <c r="G222" s="307" t="s">
        <v>379</v>
      </c>
      <c r="H222" s="314">
        <v>1558500</v>
      </c>
      <c r="I222" s="307" t="s">
        <v>359</v>
      </c>
      <c r="J222" s="306" t="s">
        <v>381</v>
      </c>
      <c r="K222" s="260"/>
      <c r="L222" s="292">
        <v>2026</v>
      </c>
    </row>
    <row r="223" spans="2:12" ht="14.4" hidden="1">
      <c r="B223" s="260"/>
      <c r="C223" s="307" t="s">
        <v>424</v>
      </c>
      <c r="D223" s="311" t="e">
        <f ca="1">_xlfn.XLOOKUP(C223,'KODE PROJECT BARU'!$C$5:$C$98,'KODE PROJECT BARU'!$E$5:$E$98,"N/A",0,1)</f>
        <v>#NAME?</v>
      </c>
      <c r="E223" s="313" t="s">
        <v>382</v>
      </c>
      <c r="F223" s="307" t="s">
        <v>350</v>
      </c>
      <c r="G223" s="307" t="s">
        <v>379</v>
      </c>
      <c r="H223" s="314">
        <v>11548402</v>
      </c>
      <c r="I223" s="260" t="s">
        <v>380</v>
      </c>
      <c r="J223" s="306" t="s">
        <v>381</v>
      </c>
      <c r="K223" s="260"/>
      <c r="L223" s="292">
        <v>2026</v>
      </c>
    </row>
    <row r="224" spans="2:12" ht="14.4" hidden="1">
      <c r="B224" s="260"/>
      <c r="C224" s="307" t="s">
        <v>424</v>
      </c>
      <c r="D224" s="311" t="e">
        <f ca="1">_xlfn.XLOOKUP(C224,'KODE PROJECT BARU'!$C$5:$C$98,'KODE PROJECT BARU'!$E$5:$E$98,"N/A",0,1)</f>
        <v>#NAME?</v>
      </c>
      <c r="E224" s="313" t="s">
        <v>382</v>
      </c>
      <c r="F224" s="307" t="s">
        <v>350</v>
      </c>
      <c r="G224" s="307" t="s">
        <v>379</v>
      </c>
      <c r="H224" s="314">
        <v>11548402</v>
      </c>
      <c r="I224" s="260" t="s">
        <v>357</v>
      </c>
      <c r="J224" s="306" t="s">
        <v>381</v>
      </c>
      <c r="K224" s="260"/>
      <c r="L224" s="292">
        <v>2026</v>
      </c>
    </row>
    <row r="225" spans="2:12" ht="14.4" hidden="1">
      <c r="B225" s="260"/>
      <c r="C225" s="307" t="s">
        <v>424</v>
      </c>
      <c r="D225" s="311" t="e">
        <f ca="1">_xlfn.XLOOKUP(C225,'KODE PROJECT BARU'!$C$5:$C$98,'KODE PROJECT BARU'!$E$5:$E$98,"N/A",0,1)</f>
        <v>#NAME?</v>
      </c>
      <c r="E225" s="313" t="s">
        <v>382</v>
      </c>
      <c r="F225" s="307" t="s">
        <v>350</v>
      </c>
      <c r="G225" s="307" t="s">
        <v>379</v>
      </c>
      <c r="H225" s="314">
        <v>11548402</v>
      </c>
      <c r="I225" s="260" t="s">
        <v>358</v>
      </c>
      <c r="J225" s="306" t="s">
        <v>381</v>
      </c>
      <c r="K225" s="260"/>
      <c r="L225" s="292">
        <v>2026</v>
      </c>
    </row>
    <row r="226" spans="2:12" ht="14.4" hidden="1">
      <c r="B226" s="260"/>
      <c r="C226" s="307" t="s">
        <v>424</v>
      </c>
      <c r="D226" s="311" t="e">
        <f ca="1">_xlfn.XLOOKUP(C226,'KODE PROJECT BARU'!$C$5:$C$98,'KODE PROJECT BARU'!$E$5:$E$98,"N/A",0,1)</f>
        <v>#NAME?</v>
      </c>
      <c r="E226" s="313" t="s">
        <v>382</v>
      </c>
      <c r="F226" s="307" t="s">
        <v>350</v>
      </c>
      <c r="G226" s="307" t="s">
        <v>379</v>
      </c>
      <c r="H226" s="314">
        <v>11548402</v>
      </c>
      <c r="I226" s="260" t="s">
        <v>359</v>
      </c>
      <c r="J226" s="306" t="s">
        <v>381</v>
      </c>
      <c r="K226" s="260"/>
      <c r="L226" s="292">
        <v>2026</v>
      </c>
    </row>
    <row r="227" spans="2:12" ht="14.4" hidden="1">
      <c r="B227" s="260"/>
      <c r="C227" s="307" t="s">
        <v>424</v>
      </c>
      <c r="D227" s="311" t="e">
        <f ca="1">_xlfn.XLOOKUP(C227,'KODE PROJECT BARU'!$C$5:$C$98,'KODE PROJECT BARU'!$E$5:$E$98,"N/A",0,1)</f>
        <v>#NAME?</v>
      </c>
      <c r="E227" s="313" t="s">
        <v>382</v>
      </c>
      <c r="F227" s="307" t="s">
        <v>350</v>
      </c>
      <c r="G227" s="307" t="s">
        <v>379</v>
      </c>
      <c r="H227" s="314">
        <v>11548402</v>
      </c>
      <c r="I227" s="260" t="s">
        <v>360</v>
      </c>
      <c r="J227" s="306" t="s">
        <v>381</v>
      </c>
      <c r="K227" s="260"/>
      <c r="L227" s="292">
        <v>2026</v>
      </c>
    </row>
    <row r="228" spans="2:12" ht="14.4" hidden="1">
      <c r="B228" s="260"/>
      <c r="C228" s="307" t="s">
        <v>424</v>
      </c>
      <c r="D228" s="311" t="e">
        <f ca="1">_xlfn.XLOOKUP(C228,'KODE PROJECT BARU'!$C$5:$C$98,'KODE PROJECT BARU'!$E$5:$E$98,"N/A",0,1)</f>
        <v>#NAME?</v>
      </c>
      <c r="E228" s="313" t="s">
        <v>382</v>
      </c>
      <c r="F228" s="307" t="s">
        <v>350</v>
      </c>
      <c r="G228" s="307" t="s">
        <v>379</v>
      </c>
      <c r="H228" s="314">
        <v>11548402</v>
      </c>
      <c r="I228" s="307" t="s">
        <v>361</v>
      </c>
      <c r="J228" s="306" t="s">
        <v>381</v>
      </c>
      <c r="K228" s="260"/>
      <c r="L228" s="292">
        <v>2026</v>
      </c>
    </row>
    <row r="229" spans="2:12" ht="14.4" hidden="1">
      <c r="B229" s="260"/>
      <c r="C229" s="307" t="s">
        <v>424</v>
      </c>
      <c r="D229" s="311" t="e">
        <f ca="1">_xlfn.XLOOKUP(C229,'KODE PROJECT BARU'!$C$5:$C$98,'KODE PROJECT BARU'!$E$5:$E$98,"N/A",0,1)</f>
        <v>#NAME?</v>
      </c>
      <c r="E229" s="313" t="s">
        <v>387</v>
      </c>
      <c r="F229" s="307" t="s">
        <v>350</v>
      </c>
      <c r="G229" s="307" t="s">
        <v>379</v>
      </c>
      <c r="H229" s="314">
        <v>8312000</v>
      </c>
      <c r="I229" s="307" t="s">
        <v>361</v>
      </c>
      <c r="J229" s="306" t="s">
        <v>381</v>
      </c>
      <c r="K229" s="260"/>
      <c r="L229" s="292">
        <v>2026</v>
      </c>
    </row>
    <row r="230" spans="2:12" ht="14.4" hidden="1">
      <c r="B230" s="306"/>
      <c r="C230" s="307" t="s">
        <v>425</v>
      </c>
      <c r="D230" s="311" t="e">
        <f ca="1">_xlfn.XLOOKUP(C230,'KODE PROJECT BARU'!$C$5:$C$98,'KODE PROJECT BARU'!$E$5:$E$98,"N/A",0,1)</f>
        <v>#NAME?</v>
      </c>
      <c r="E230" s="310" t="s">
        <v>378</v>
      </c>
      <c r="F230" s="306" t="s">
        <v>350</v>
      </c>
      <c r="G230" s="306" t="s">
        <v>379</v>
      </c>
      <c r="H230" s="312">
        <v>6234000</v>
      </c>
      <c r="I230" s="306" t="s">
        <v>380</v>
      </c>
      <c r="J230" s="306" t="s">
        <v>381</v>
      </c>
      <c r="K230" s="306"/>
      <c r="L230" s="292">
        <v>2026</v>
      </c>
    </row>
    <row r="231" spans="2:12" ht="14.4" hidden="1">
      <c r="B231" s="306"/>
      <c r="C231" s="307" t="s">
        <v>425</v>
      </c>
      <c r="D231" s="311" t="e">
        <f ca="1">_xlfn.XLOOKUP(C231,'KODE PROJECT BARU'!$C$5:$C$98,'KODE PROJECT BARU'!$E$5:$E$98,"N/A",0,1)</f>
        <v>#NAME?</v>
      </c>
      <c r="E231" s="313" t="s">
        <v>378</v>
      </c>
      <c r="F231" s="307" t="s">
        <v>350</v>
      </c>
      <c r="G231" s="307" t="s">
        <v>379</v>
      </c>
      <c r="H231" s="312">
        <v>6234000</v>
      </c>
      <c r="I231" s="307" t="s">
        <v>359</v>
      </c>
      <c r="J231" s="306" t="s">
        <v>381</v>
      </c>
      <c r="K231" s="306"/>
      <c r="L231" s="292">
        <v>2026</v>
      </c>
    </row>
    <row r="232" spans="2:12" ht="14.4" hidden="1">
      <c r="B232" s="306"/>
      <c r="C232" s="307" t="s">
        <v>425</v>
      </c>
      <c r="D232" s="311" t="e">
        <f ca="1">_xlfn.XLOOKUP(C232,'KODE PROJECT BARU'!$C$5:$C$98,'KODE PROJECT BARU'!$E$5:$E$98,"N/A",0,1)</f>
        <v>#NAME?</v>
      </c>
      <c r="E232" s="313" t="s">
        <v>378</v>
      </c>
      <c r="F232" s="307" t="s">
        <v>350</v>
      </c>
      <c r="G232" s="307" t="s">
        <v>379</v>
      </c>
      <c r="H232" s="312">
        <v>6234000</v>
      </c>
      <c r="I232" s="307" t="s">
        <v>361</v>
      </c>
      <c r="J232" s="306" t="s">
        <v>381</v>
      </c>
      <c r="K232" s="306"/>
      <c r="L232" s="292">
        <v>2026</v>
      </c>
    </row>
    <row r="233" spans="2:12" ht="14.4" hidden="1">
      <c r="B233" s="306"/>
      <c r="C233" s="307" t="s">
        <v>425</v>
      </c>
      <c r="D233" s="311" t="e">
        <f ca="1">_xlfn.XLOOKUP(C233,'KODE PROJECT BARU'!$C$5:$C$98,'KODE PROJECT BARU'!$E$5:$E$98,"N/A",0,1)</f>
        <v>#NAME?</v>
      </c>
      <c r="E233" s="313" t="s">
        <v>382</v>
      </c>
      <c r="F233" s="307" t="s">
        <v>350</v>
      </c>
      <c r="G233" s="307" t="s">
        <v>379</v>
      </c>
      <c r="H233" s="314">
        <v>187643454</v>
      </c>
      <c r="I233" s="260" t="s">
        <v>380</v>
      </c>
      <c r="J233" s="306" t="s">
        <v>381</v>
      </c>
      <c r="K233" s="306"/>
      <c r="L233" s="292">
        <v>2026</v>
      </c>
    </row>
    <row r="234" spans="2:12" ht="14.4" hidden="1">
      <c r="B234" s="306"/>
      <c r="C234" s="307" t="s">
        <v>425</v>
      </c>
      <c r="D234" s="311" t="e">
        <f ca="1">_xlfn.XLOOKUP(C234,'KODE PROJECT BARU'!$C$5:$C$98,'KODE PROJECT BARU'!$E$5:$E$98,"N/A",0,1)</f>
        <v>#NAME?</v>
      </c>
      <c r="E234" s="313" t="s">
        <v>382</v>
      </c>
      <c r="F234" s="307" t="s">
        <v>350</v>
      </c>
      <c r="G234" s="307" t="s">
        <v>379</v>
      </c>
      <c r="H234" s="314">
        <v>187643454</v>
      </c>
      <c r="I234" s="260" t="s">
        <v>357</v>
      </c>
      <c r="J234" s="306" t="s">
        <v>381</v>
      </c>
      <c r="K234" s="306"/>
      <c r="L234" s="292">
        <v>2026</v>
      </c>
    </row>
    <row r="235" spans="2:12" ht="14.4" hidden="1">
      <c r="B235" s="292"/>
      <c r="C235" s="307" t="s">
        <v>425</v>
      </c>
      <c r="D235" s="311" t="e">
        <f ca="1">_xlfn.XLOOKUP(C235,'KODE PROJECT BARU'!$C$5:$C$98,'KODE PROJECT BARU'!$E$5:$E$98,"N/A",0,1)</f>
        <v>#NAME?</v>
      </c>
      <c r="E235" s="313" t="s">
        <v>382</v>
      </c>
      <c r="F235" s="307" t="s">
        <v>350</v>
      </c>
      <c r="G235" s="307" t="s">
        <v>379</v>
      </c>
      <c r="H235" s="314">
        <v>187643454</v>
      </c>
      <c r="I235" s="260" t="s">
        <v>358</v>
      </c>
      <c r="J235" s="306" t="s">
        <v>381</v>
      </c>
      <c r="K235" s="292"/>
      <c r="L235" s="292">
        <v>2026</v>
      </c>
    </row>
    <row r="236" spans="2:12" ht="14.4" hidden="1">
      <c r="B236" s="292"/>
      <c r="C236" s="307" t="s">
        <v>425</v>
      </c>
      <c r="D236" s="311" t="e">
        <f ca="1">_xlfn.XLOOKUP(C236,'KODE PROJECT BARU'!$C$5:$C$98,'KODE PROJECT BARU'!$E$5:$E$98,"N/A",0,1)</f>
        <v>#NAME?</v>
      </c>
      <c r="E236" s="313" t="s">
        <v>382</v>
      </c>
      <c r="F236" s="307" t="s">
        <v>350</v>
      </c>
      <c r="G236" s="307" t="s">
        <v>379</v>
      </c>
      <c r="H236" s="314">
        <v>187643454</v>
      </c>
      <c r="I236" s="260" t="s">
        <v>359</v>
      </c>
      <c r="J236" s="306" t="s">
        <v>381</v>
      </c>
      <c r="K236" s="292"/>
      <c r="L236" s="292">
        <v>2026</v>
      </c>
    </row>
    <row r="237" spans="2:12" ht="14.4" hidden="1">
      <c r="B237" s="292"/>
      <c r="C237" s="307" t="s">
        <v>425</v>
      </c>
      <c r="D237" s="311" t="e">
        <f ca="1">_xlfn.XLOOKUP(C237,'KODE PROJECT BARU'!$C$5:$C$98,'KODE PROJECT BARU'!$E$5:$E$98,"N/A",0,1)</f>
        <v>#NAME?</v>
      </c>
      <c r="E237" s="313" t="s">
        <v>382</v>
      </c>
      <c r="F237" s="307" t="s">
        <v>350</v>
      </c>
      <c r="G237" s="307" t="s">
        <v>379</v>
      </c>
      <c r="H237" s="314">
        <v>187643454</v>
      </c>
      <c r="I237" s="260" t="s">
        <v>360</v>
      </c>
      <c r="J237" s="306" t="s">
        <v>381</v>
      </c>
      <c r="K237" s="292"/>
      <c r="L237" s="292">
        <v>2026</v>
      </c>
    </row>
    <row r="238" spans="2:12" ht="14.4" hidden="1">
      <c r="B238" s="292"/>
      <c r="C238" s="307" t="s">
        <v>425</v>
      </c>
      <c r="D238" s="311" t="e">
        <f ca="1">_xlfn.XLOOKUP(C238,'KODE PROJECT BARU'!$C$5:$C$98,'KODE PROJECT BARU'!$E$5:$E$98,"N/A",0,1)</f>
        <v>#NAME?</v>
      </c>
      <c r="E238" s="313" t="s">
        <v>382</v>
      </c>
      <c r="F238" s="307" t="s">
        <v>350</v>
      </c>
      <c r="G238" s="307" t="s">
        <v>379</v>
      </c>
      <c r="H238" s="314">
        <v>187643454</v>
      </c>
      <c r="I238" s="307" t="s">
        <v>361</v>
      </c>
      <c r="J238" s="306" t="s">
        <v>381</v>
      </c>
      <c r="K238" s="292"/>
      <c r="L238" s="292">
        <v>2026</v>
      </c>
    </row>
    <row r="239" spans="2:12" ht="14.4" hidden="1">
      <c r="B239" s="292"/>
      <c r="C239" s="307" t="s">
        <v>425</v>
      </c>
      <c r="D239" s="311" t="e">
        <f ca="1">_xlfn.XLOOKUP(C239,'KODE PROJECT BARU'!$C$5:$C$98,'KODE PROJECT BARU'!$E$5:$E$98,"N/A",0,1)</f>
        <v>#NAME?</v>
      </c>
      <c r="E239" s="313" t="s">
        <v>387</v>
      </c>
      <c r="F239" s="307" t="s">
        <v>350</v>
      </c>
      <c r="G239" s="307" t="s">
        <v>379</v>
      </c>
      <c r="H239" s="314">
        <v>31342336</v>
      </c>
      <c r="I239" s="307" t="s">
        <v>361</v>
      </c>
      <c r="J239" s="306" t="s">
        <v>381</v>
      </c>
      <c r="K239" s="292"/>
      <c r="L239" s="292">
        <v>2026</v>
      </c>
    </row>
    <row r="240" spans="2:12" ht="14.4" hidden="1">
      <c r="B240" s="306"/>
      <c r="C240" s="307" t="s">
        <v>425</v>
      </c>
      <c r="D240" s="311" t="e">
        <f ca="1">_xlfn.XLOOKUP(C240,'KODE PROJECT BARU'!$C$5:$C$98,'KODE PROJECT BARU'!$E$5:$E$98,"N/A",0,1)</f>
        <v>#NAME?</v>
      </c>
      <c r="E240" s="310" t="s">
        <v>385</v>
      </c>
      <c r="F240" s="307" t="s">
        <v>350</v>
      </c>
      <c r="G240" s="307" t="s">
        <v>379</v>
      </c>
      <c r="H240" s="314">
        <v>20000000</v>
      </c>
      <c r="I240" s="307" t="s">
        <v>361</v>
      </c>
      <c r="J240" s="306" t="s">
        <v>381</v>
      </c>
      <c r="K240" s="306"/>
      <c r="L240" s="292">
        <v>2026</v>
      </c>
    </row>
    <row r="241" spans="2:12" ht="14.4" hidden="1">
      <c r="B241" s="306"/>
      <c r="C241" s="307" t="s">
        <v>425</v>
      </c>
      <c r="D241" s="311" t="e">
        <f ca="1">_xlfn.XLOOKUP(C241,'KODE PROJECT BARU'!$C$5:$C$98,'KODE PROJECT BARU'!$E$5:$E$98,"N/A",0,1)</f>
        <v>#NAME?</v>
      </c>
      <c r="E241" s="310" t="s">
        <v>383</v>
      </c>
      <c r="F241" s="307" t="s">
        <v>350</v>
      </c>
      <c r="G241" s="307" t="s">
        <v>379</v>
      </c>
      <c r="H241" s="314">
        <v>12000000</v>
      </c>
      <c r="I241" s="307" t="s">
        <v>361</v>
      </c>
      <c r="J241" s="306" t="s">
        <v>381</v>
      </c>
      <c r="K241" s="306"/>
      <c r="L241" s="292">
        <v>2026</v>
      </c>
    </row>
    <row r="242" spans="2:12" ht="14.4" hidden="1">
      <c r="B242" s="306"/>
      <c r="C242" s="307" t="s">
        <v>425</v>
      </c>
      <c r="D242" s="311" t="e">
        <f ca="1">_xlfn.XLOOKUP(C242,'KODE PROJECT BARU'!$C$5:$C$98,'KODE PROJECT BARU'!$E$5:$E$98,"N/A",0,1)</f>
        <v>#NAME?</v>
      </c>
      <c r="E242" s="310" t="s">
        <v>382</v>
      </c>
      <c r="F242" s="306" t="s">
        <v>350</v>
      </c>
      <c r="G242" s="306" t="s">
        <v>379</v>
      </c>
      <c r="H242" s="312">
        <v>113700000</v>
      </c>
      <c r="I242" s="306" t="s">
        <v>380</v>
      </c>
      <c r="J242" s="306" t="s">
        <v>426</v>
      </c>
      <c r="K242" s="306"/>
      <c r="L242" s="292">
        <v>2026</v>
      </c>
    </row>
    <row r="243" spans="2:12" ht="14.4" hidden="1">
      <c r="B243" s="292"/>
      <c r="C243" s="260" t="s">
        <v>425</v>
      </c>
      <c r="D243" s="309" t="e">
        <f ca="1">_xlfn.XLOOKUP(C243,'KODE PROJECT BARU'!$C$5:$C$98,'KODE PROJECT BARU'!$E$5:$E$98,"N/A",0,1)</f>
        <v>#NAME?</v>
      </c>
      <c r="E243" s="302" t="s">
        <v>382</v>
      </c>
      <c r="F243" s="292" t="s">
        <v>350</v>
      </c>
      <c r="G243" s="292" t="s">
        <v>379</v>
      </c>
      <c r="H243" s="294">
        <v>113700000</v>
      </c>
      <c r="I243" s="260" t="s">
        <v>357</v>
      </c>
      <c r="J243" s="292" t="s">
        <v>426</v>
      </c>
      <c r="K243" s="292"/>
      <c r="L243" s="292">
        <v>2026</v>
      </c>
    </row>
    <row r="244" spans="2:12" ht="14.4" hidden="1">
      <c r="B244" s="292"/>
      <c r="C244" s="260" t="s">
        <v>425</v>
      </c>
      <c r="D244" s="309" t="e">
        <f ca="1">_xlfn.XLOOKUP(C244,'KODE PROJECT BARU'!$C$5:$C$98,'KODE PROJECT BARU'!$E$5:$E$98,"N/A",0,1)</f>
        <v>#NAME?</v>
      </c>
      <c r="E244" s="302" t="s">
        <v>382</v>
      </c>
      <c r="F244" s="292" t="s">
        <v>350</v>
      </c>
      <c r="G244" s="292" t="s">
        <v>379</v>
      </c>
      <c r="H244" s="294">
        <v>113700000</v>
      </c>
      <c r="I244" s="260" t="s">
        <v>358</v>
      </c>
      <c r="J244" s="292" t="s">
        <v>426</v>
      </c>
      <c r="K244" s="292"/>
      <c r="L244" s="292">
        <v>2026</v>
      </c>
    </row>
    <row r="245" spans="2:12" ht="14.4" hidden="1">
      <c r="B245" s="292"/>
      <c r="C245" s="260" t="s">
        <v>425</v>
      </c>
      <c r="D245" s="309" t="e">
        <f ca="1">_xlfn.XLOOKUP(C245,'KODE PROJECT BARU'!$C$5:$C$98,'KODE PROJECT BARU'!$E$5:$E$98,"N/A",0,1)</f>
        <v>#NAME?</v>
      </c>
      <c r="E245" s="302" t="s">
        <v>382</v>
      </c>
      <c r="F245" s="292" t="s">
        <v>350</v>
      </c>
      <c r="G245" s="292" t="s">
        <v>379</v>
      </c>
      <c r="H245" s="294">
        <v>113700000</v>
      </c>
      <c r="I245" s="260" t="s">
        <v>359</v>
      </c>
      <c r="J245" s="292" t="s">
        <v>426</v>
      </c>
      <c r="K245" s="292"/>
      <c r="L245" s="292">
        <v>2026</v>
      </c>
    </row>
    <row r="246" spans="2:12" ht="14.4" hidden="1">
      <c r="B246" s="292"/>
      <c r="C246" s="260" t="s">
        <v>425</v>
      </c>
      <c r="D246" s="309" t="e">
        <f ca="1">_xlfn.XLOOKUP(C246,'KODE PROJECT BARU'!$C$5:$C$98,'KODE PROJECT BARU'!$E$5:$E$98,"N/A",0,1)</f>
        <v>#NAME?</v>
      </c>
      <c r="E246" s="302" t="s">
        <v>382</v>
      </c>
      <c r="F246" s="292" t="s">
        <v>350</v>
      </c>
      <c r="G246" s="292" t="s">
        <v>379</v>
      </c>
      <c r="H246" s="294">
        <v>113700000</v>
      </c>
      <c r="I246" s="260" t="s">
        <v>360</v>
      </c>
      <c r="J246" s="292" t="s">
        <v>426</v>
      </c>
      <c r="K246" s="292"/>
      <c r="L246" s="292">
        <v>2026</v>
      </c>
    </row>
    <row r="247" spans="2:12" ht="14.4" hidden="1">
      <c r="B247" s="306"/>
      <c r="C247" s="307" t="s">
        <v>425</v>
      </c>
      <c r="D247" s="311" t="e">
        <f ca="1">_xlfn.XLOOKUP(C247,'KODE PROJECT BARU'!$C$5:$C$98,'KODE PROJECT BARU'!$E$5:$E$98,"N/A",0,1)</f>
        <v>#NAME?</v>
      </c>
      <c r="E247" s="310" t="s">
        <v>382</v>
      </c>
      <c r="F247" s="306" t="s">
        <v>350</v>
      </c>
      <c r="G247" s="306" t="s">
        <v>379</v>
      </c>
      <c r="H247" s="312">
        <v>113700000</v>
      </c>
      <c r="I247" s="307" t="s">
        <v>361</v>
      </c>
      <c r="J247" s="306" t="s">
        <v>426</v>
      </c>
      <c r="K247" s="306"/>
      <c r="L247" s="292">
        <v>2026</v>
      </c>
    </row>
    <row r="248" spans="2:12" ht="14.4" hidden="1">
      <c r="B248" s="306"/>
      <c r="C248" s="307" t="s">
        <v>427</v>
      </c>
      <c r="D248" s="311" t="e">
        <f ca="1">_xlfn.XLOOKUP(C248,'KODE PROJECT BARU'!$C$5:$C$98,'KODE PROJECT BARU'!$E$5:$E$98,"N/A",0,1)</f>
        <v>#NAME?</v>
      </c>
      <c r="E248" s="310" t="s">
        <v>378</v>
      </c>
      <c r="F248" s="306" t="s">
        <v>350</v>
      </c>
      <c r="G248" s="306" t="s">
        <v>379</v>
      </c>
      <c r="H248" s="312">
        <v>1558500</v>
      </c>
      <c r="I248" s="306" t="s">
        <v>380</v>
      </c>
      <c r="J248" s="306" t="s">
        <v>381</v>
      </c>
      <c r="K248" s="306"/>
      <c r="L248" s="292">
        <v>2026</v>
      </c>
    </row>
    <row r="249" spans="2:12" ht="14.4" hidden="1">
      <c r="B249" s="292"/>
      <c r="C249" s="307" t="s">
        <v>427</v>
      </c>
      <c r="D249" s="311" t="e">
        <f ca="1">_xlfn.XLOOKUP(C249,'KODE PROJECT BARU'!$C$5:$C$98,'KODE PROJECT BARU'!$E$5:$E$98,"N/A",0,1)</f>
        <v>#NAME?</v>
      </c>
      <c r="E249" s="313" t="s">
        <v>378</v>
      </c>
      <c r="F249" s="307" t="s">
        <v>350</v>
      </c>
      <c r="G249" s="307" t="s">
        <v>379</v>
      </c>
      <c r="H249" s="312">
        <v>1558500</v>
      </c>
      <c r="I249" s="307" t="s">
        <v>359</v>
      </c>
      <c r="J249" s="306" t="s">
        <v>381</v>
      </c>
      <c r="K249" s="292"/>
      <c r="L249" s="292">
        <v>2026</v>
      </c>
    </row>
    <row r="250" spans="2:12" ht="14.4" hidden="1">
      <c r="B250" s="292"/>
      <c r="C250" s="307" t="s">
        <v>427</v>
      </c>
      <c r="D250" s="311" t="e">
        <f ca="1">_xlfn.XLOOKUP(C250,'KODE PROJECT BARU'!$C$5:$C$98,'KODE PROJECT BARU'!$E$5:$E$98,"N/A",0,1)</f>
        <v>#NAME?</v>
      </c>
      <c r="E250" s="313" t="s">
        <v>378</v>
      </c>
      <c r="F250" s="307" t="s">
        <v>350</v>
      </c>
      <c r="G250" s="307" t="s">
        <v>379</v>
      </c>
      <c r="H250" s="312">
        <v>1558500</v>
      </c>
      <c r="I250" s="307" t="s">
        <v>361</v>
      </c>
      <c r="J250" s="306" t="s">
        <v>381</v>
      </c>
      <c r="K250" s="292"/>
      <c r="L250" s="292">
        <v>2026</v>
      </c>
    </row>
    <row r="251" spans="2:12" ht="14.4" hidden="1">
      <c r="B251" s="292"/>
      <c r="C251" s="307" t="s">
        <v>427</v>
      </c>
      <c r="D251" s="311" t="e">
        <f ca="1">_xlfn.XLOOKUP(C251,'KODE PROJECT BARU'!$C$5:$C$98,'KODE PROJECT BARU'!$E$5:$E$98,"N/A",0,1)</f>
        <v>#NAME?</v>
      </c>
      <c r="E251" s="313" t="s">
        <v>382</v>
      </c>
      <c r="F251" s="307" t="s">
        <v>350</v>
      </c>
      <c r="G251" s="307" t="s">
        <v>379</v>
      </c>
      <c r="H251" s="314">
        <v>23239484</v>
      </c>
      <c r="I251" s="260" t="s">
        <v>380</v>
      </c>
      <c r="J251" s="306" t="s">
        <v>381</v>
      </c>
      <c r="K251" s="292"/>
      <c r="L251" s="292">
        <v>2026</v>
      </c>
    </row>
    <row r="252" spans="2:12" ht="14.4" hidden="1">
      <c r="B252" s="292"/>
      <c r="C252" s="307" t="s">
        <v>427</v>
      </c>
      <c r="D252" s="311" t="e">
        <f ca="1">_xlfn.XLOOKUP(C252,'KODE PROJECT BARU'!$C$5:$C$98,'KODE PROJECT BARU'!$E$5:$E$98,"N/A",0,1)</f>
        <v>#NAME?</v>
      </c>
      <c r="E252" s="313" t="s">
        <v>382</v>
      </c>
      <c r="F252" s="307" t="s">
        <v>350</v>
      </c>
      <c r="G252" s="307" t="s">
        <v>379</v>
      </c>
      <c r="H252" s="314">
        <v>23239484</v>
      </c>
      <c r="I252" s="260" t="s">
        <v>357</v>
      </c>
      <c r="J252" s="306" t="s">
        <v>381</v>
      </c>
      <c r="K252" s="292"/>
      <c r="L252" s="292">
        <v>2026</v>
      </c>
    </row>
    <row r="253" spans="2:12" ht="14.4" hidden="1">
      <c r="B253" s="292"/>
      <c r="C253" s="307" t="s">
        <v>427</v>
      </c>
      <c r="D253" s="311" t="e">
        <f ca="1">_xlfn.XLOOKUP(C253,'KODE PROJECT BARU'!$C$5:$C$98,'KODE PROJECT BARU'!$E$5:$E$98,"N/A",0,1)</f>
        <v>#NAME?</v>
      </c>
      <c r="E253" s="313" t="s">
        <v>382</v>
      </c>
      <c r="F253" s="307" t="s">
        <v>350</v>
      </c>
      <c r="G253" s="307" t="s">
        <v>379</v>
      </c>
      <c r="H253" s="314">
        <v>23239484</v>
      </c>
      <c r="I253" s="260" t="s">
        <v>358</v>
      </c>
      <c r="J253" s="306" t="s">
        <v>381</v>
      </c>
      <c r="K253" s="292"/>
      <c r="L253" s="292">
        <v>2026</v>
      </c>
    </row>
    <row r="254" spans="2:12" ht="14.4" hidden="1">
      <c r="B254" s="292"/>
      <c r="C254" s="307" t="s">
        <v>427</v>
      </c>
      <c r="D254" s="311" t="e">
        <f ca="1">_xlfn.XLOOKUP(C254,'KODE PROJECT BARU'!$C$5:$C$98,'KODE PROJECT BARU'!$E$5:$E$98,"N/A",0,1)</f>
        <v>#NAME?</v>
      </c>
      <c r="E254" s="313" t="s">
        <v>382</v>
      </c>
      <c r="F254" s="307" t="s">
        <v>350</v>
      </c>
      <c r="G254" s="307" t="s">
        <v>379</v>
      </c>
      <c r="H254" s="314">
        <v>23239484</v>
      </c>
      <c r="I254" s="260" t="s">
        <v>359</v>
      </c>
      <c r="J254" s="306" t="s">
        <v>381</v>
      </c>
      <c r="K254" s="292"/>
      <c r="L254" s="292">
        <v>2026</v>
      </c>
    </row>
    <row r="255" spans="2:12" ht="14.4" hidden="1">
      <c r="B255" s="292"/>
      <c r="C255" s="307" t="s">
        <v>427</v>
      </c>
      <c r="D255" s="311" t="e">
        <f ca="1">_xlfn.XLOOKUP(C255,'KODE PROJECT BARU'!$C$5:$C$98,'KODE PROJECT BARU'!$E$5:$E$98,"N/A",0,1)</f>
        <v>#NAME?</v>
      </c>
      <c r="E255" s="313" t="s">
        <v>382</v>
      </c>
      <c r="F255" s="307" t="s">
        <v>350</v>
      </c>
      <c r="G255" s="307" t="s">
        <v>379</v>
      </c>
      <c r="H255" s="314">
        <v>23239484</v>
      </c>
      <c r="I255" s="260" t="s">
        <v>360</v>
      </c>
      <c r="J255" s="306" t="s">
        <v>381</v>
      </c>
      <c r="K255" s="292"/>
      <c r="L255" s="292">
        <v>2026</v>
      </c>
    </row>
    <row r="256" spans="2:12" ht="14.4" hidden="1">
      <c r="B256" s="292"/>
      <c r="C256" s="307" t="s">
        <v>427</v>
      </c>
      <c r="D256" s="311" t="e">
        <f ca="1">_xlfn.XLOOKUP(C256,'KODE PROJECT BARU'!$C$5:$C$98,'KODE PROJECT BARU'!$E$5:$E$98,"N/A",0,1)</f>
        <v>#NAME?</v>
      </c>
      <c r="E256" s="313" t="s">
        <v>382</v>
      </c>
      <c r="F256" s="307" t="s">
        <v>350</v>
      </c>
      <c r="G256" s="307" t="s">
        <v>379</v>
      </c>
      <c r="H256" s="314">
        <v>23239484</v>
      </c>
      <c r="I256" s="307" t="s">
        <v>361</v>
      </c>
      <c r="J256" s="306" t="s">
        <v>381</v>
      </c>
      <c r="K256" s="292"/>
      <c r="L256" s="292">
        <v>2026</v>
      </c>
    </row>
    <row r="257" spans="2:12" ht="14.4" hidden="1">
      <c r="B257" s="292"/>
      <c r="C257" s="307" t="s">
        <v>427</v>
      </c>
      <c r="D257" s="311" t="e">
        <f ca="1">_xlfn.XLOOKUP(C257,'KODE PROJECT BARU'!$C$5:$C$98,'KODE PROJECT BARU'!$E$5:$E$98,"N/A",0,1)</f>
        <v>#NAME?</v>
      </c>
      <c r="E257" s="313" t="s">
        <v>387</v>
      </c>
      <c r="F257" s="307" t="s">
        <v>350</v>
      </c>
      <c r="G257" s="307" t="s">
        <v>379</v>
      </c>
      <c r="H257" s="314">
        <f>16120000*1.039</f>
        <v>16748679.999999998</v>
      </c>
      <c r="I257" s="307" t="s">
        <v>361</v>
      </c>
      <c r="J257" s="306" t="s">
        <v>381</v>
      </c>
      <c r="K257" s="292"/>
      <c r="L257" s="292">
        <v>2026</v>
      </c>
    </row>
    <row r="258" spans="2:12" ht="14.4" hidden="1">
      <c r="B258" s="306"/>
      <c r="C258" s="307" t="s">
        <v>428</v>
      </c>
      <c r="D258" s="311" t="e">
        <f ca="1">_xlfn.XLOOKUP(C258,'KODE PROJECT BARU'!$C$5:$C$98,'KODE PROJECT BARU'!$E$5:$E$98,"N/A",0,1)</f>
        <v>#NAME?</v>
      </c>
      <c r="E258" s="313" t="s">
        <v>382</v>
      </c>
      <c r="F258" s="307" t="s">
        <v>350</v>
      </c>
      <c r="G258" s="307" t="s">
        <v>379</v>
      </c>
      <c r="H258" s="314">
        <v>416356937</v>
      </c>
      <c r="I258" s="260" t="s">
        <v>380</v>
      </c>
      <c r="J258" s="306" t="s">
        <v>381</v>
      </c>
      <c r="K258" s="306"/>
      <c r="L258" s="292">
        <v>2026</v>
      </c>
    </row>
    <row r="259" spans="2:12" ht="14.4" hidden="1">
      <c r="B259" s="292"/>
      <c r="C259" s="307" t="s">
        <v>428</v>
      </c>
      <c r="D259" s="311" t="e">
        <f ca="1">_xlfn.XLOOKUP(C259,'KODE PROJECT BARU'!$C$5:$C$98,'KODE PROJECT BARU'!$E$5:$E$98,"N/A",0,1)</f>
        <v>#NAME?</v>
      </c>
      <c r="E259" s="313" t="s">
        <v>382</v>
      </c>
      <c r="F259" s="307" t="s">
        <v>350</v>
      </c>
      <c r="G259" s="307" t="s">
        <v>379</v>
      </c>
      <c r="H259" s="314">
        <v>416356937</v>
      </c>
      <c r="I259" s="260" t="s">
        <v>357</v>
      </c>
      <c r="J259" s="306" t="s">
        <v>381</v>
      </c>
      <c r="K259" s="292"/>
      <c r="L259" s="292">
        <v>2026</v>
      </c>
    </row>
    <row r="260" spans="2:12" ht="14.4" hidden="1">
      <c r="B260" s="292"/>
      <c r="C260" s="307" t="s">
        <v>428</v>
      </c>
      <c r="D260" s="311" t="e">
        <f ca="1">_xlfn.XLOOKUP(C260,'KODE PROJECT BARU'!$C$5:$C$98,'KODE PROJECT BARU'!$E$5:$E$98,"N/A",0,1)</f>
        <v>#NAME?</v>
      </c>
      <c r="E260" s="313" t="s">
        <v>382</v>
      </c>
      <c r="F260" s="307" t="s">
        <v>350</v>
      </c>
      <c r="G260" s="307" t="s">
        <v>379</v>
      </c>
      <c r="H260" s="314">
        <v>416356937</v>
      </c>
      <c r="I260" s="260" t="s">
        <v>358</v>
      </c>
      <c r="J260" s="306" t="s">
        <v>381</v>
      </c>
      <c r="K260" s="292"/>
      <c r="L260" s="292">
        <v>2026</v>
      </c>
    </row>
    <row r="261" spans="2:12" ht="14.4" hidden="1">
      <c r="B261" s="292"/>
      <c r="C261" s="307" t="s">
        <v>428</v>
      </c>
      <c r="D261" s="311" t="e">
        <f ca="1">_xlfn.XLOOKUP(C261,'KODE PROJECT BARU'!$C$5:$C$98,'KODE PROJECT BARU'!$E$5:$E$98,"N/A",0,1)</f>
        <v>#NAME?</v>
      </c>
      <c r="E261" s="313" t="s">
        <v>382</v>
      </c>
      <c r="F261" s="307" t="s">
        <v>350</v>
      </c>
      <c r="G261" s="307" t="s">
        <v>379</v>
      </c>
      <c r="H261" s="314">
        <v>416356937</v>
      </c>
      <c r="I261" s="260" t="s">
        <v>359</v>
      </c>
      <c r="J261" s="306" t="s">
        <v>381</v>
      </c>
      <c r="K261" s="292"/>
      <c r="L261" s="292">
        <v>2026</v>
      </c>
    </row>
    <row r="262" spans="2:12" ht="14.4" hidden="1">
      <c r="B262" s="292"/>
      <c r="C262" s="307" t="s">
        <v>428</v>
      </c>
      <c r="D262" s="311" t="e">
        <f ca="1">_xlfn.XLOOKUP(C262,'KODE PROJECT BARU'!$C$5:$C$98,'KODE PROJECT BARU'!$E$5:$E$98,"N/A",0,1)</f>
        <v>#NAME?</v>
      </c>
      <c r="E262" s="313" t="s">
        <v>382</v>
      </c>
      <c r="F262" s="307" t="s">
        <v>350</v>
      </c>
      <c r="G262" s="307" t="s">
        <v>379</v>
      </c>
      <c r="H262" s="314">
        <v>416356937</v>
      </c>
      <c r="I262" s="260" t="s">
        <v>360</v>
      </c>
      <c r="J262" s="306" t="s">
        <v>381</v>
      </c>
      <c r="K262" s="292"/>
      <c r="L262" s="292">
        <v>2026</v>
      </c>
    </row>
    <row r="263" spans="2:12" ht="14.4" hidden="1">
      <c r="B263" s="292"/>
      <c r="C263" s="307" t="s">
        <v>428</v>
      </c>
      <c r="D263" s="311" t="e">
        <f ca="1">_xlfn.XLOOKUP(C263,'KODE PROJECT BARU'!$C$5:$C$98,'KODE PROJECT BARU'!$E$5:$E$98,"N/A",0,1)</f>
        <v>#NAME?</v>
      </c>
      <c r="E263" s="313" t="s">
        <v>382</v>
      </c>
      <c r="F263" s="307" t="s">
        <v>350</v>
      </c>
      <c r="G263" s="307" t="s">
        <v>379</v>
      </c>
      <c r="H263" s="314">
        <v>416356937</v>
      </c>
      <c r="I263" s="307" t="s">
        <v>361</v>
      </c>
      <c r="J263" s="306" t="s">
        <v>381</v>
      </c>
      <c r="K263" s="292"/>
      <c r="L263" s="292">
        <v>2026</v>
      </c>
    </row>
    <row r="264" spans="2:12" ht="14.4" hidden="1">
      <c r="B264" s="306"/>
      <c r="C264" s="307" t="s">
        <v>429</v>
      </c>
      <c r="D264" s="311" t="e">
        <f ca="1">_xlfn.XLOOKUP(C264,'KODE PROJECT BARU'!$C$5:$C$98,'KODE PROJECT BARU'!$E$5:$E$98,"N/A",0,1)</f>
        <v>#NAME?</v>
      </c>
      <c r="E264" s="313" t="s">
        <v>382</v>
      </c>
      <c r="F264" s="307" t="s">
        <v>350</v>
      </c>
      <c r="G264" s="307" t="s">
        <v>379</v>
      </c>
      <c r="H264" s="314">
        <v>9413104</v>
      </c>
      <c r="I264" s="260" t="s">
        <v>380</v>
      </c>
      <c r="J264" s="306" t="s">
        <v>381</v>
      </c>
      <c r="K264" s="306"/>
      <c r="L264" s="292">
        <v>2026</v>
      </c>
    </row>
    <row r="265" spans="2:12" ht="14.4" hidden="1">
      <c r="B265" s="292"/>
      <c r="C265" s="307" t="s">
        <v>429</v>
      </c>
      <c r="D265" s="311" t="e">
        <f ca="1">_xlfn.XLOOKUP(C265,'KODE PROJECT BARU'!$C$5:$C$98,'KODE PROJECT BARU'!$E$5:$E$98,"N/A",0,1)</f>
        <v>#NAME?</v>
      </c>
      <c r="E265" s="313" t="s">
        <v>382</v>
      </c>
      <c r="F265" s="307" t="s">
        <v>350</v>
      </c>
      <c r="G265" s="307" t="s">
        <v>379</v>
      </c>
      <c r="H265" s="314">
        <v>9413104</v>
      </c>
      <c r="I265" s="260" t="s">
        <v>357</v>
      </c>
      <c r="J265" s="306" t="s">
        <v>381</v>
      </c>
      <c r="K265" s="292"/>
      <c r="L265" s="292">
        <v>2026</v>
      </c>
    </row>
    <row r="266" spans="2:12" ht="14.4" hidden="1">
      <c r="B266" s="292"/>
      <c r="C266" s="307" t="s">
        <v>429</v>
      </c>
      <c r="D266" s="311" t="e">
        <f ca="1">_xlfn.XLOOKUP(C266,'KODE PROJECT BARU'!$C$5:$C$98,'KODE PROJECT BARU'!$E$5:$E$98,"N/A",0,1)</f>
        <v>#NAME?</v>
      </c>
      <c r="E266" s="313" t="s">
        <v>382</v>
      </c>
      <c r="F266" s="307" t="s">
        <v>350</v>
      </c>
      <c r="G266" s="307" t="s">
        <v>379</v>
      </c>
      <c r="H266" s="314">
        <v>9413104</v>
      </c>
      <c r="I266" s="260" t="s">
        <v>358</v>
      </c>
      <c r="J266" s="306" t="s">
        <v>381</v>
      </c>
      <c r="K266" s="292"/>
      <c r="L266" s="292">
        <v>2026</v>
      </c>
    </row>
    <row r="267" spans="2:12" ht="14.4" hidden="1">
      <c r="B267" s="292"/>
      <c r="C267" s="307" t="s">
        <v>429</v>
      </c>
      <c r="D267" s="311" t="e">
        <f ca="1">_xlfn.XLOOKUP(C267,'KODE PROJECT BARU'!$C$5:$C$98,'KODE PROJECT BARU'!$E$5:$E$98,"N/A",0,1)</f>
        <v>#NAME?</v>
      </c>
      <c r="E267" s="313" t="s">
        <v>382</v>
      </c>
      <c r="F267" s="307" t="s">
        <v>350</v>
      </c>
      <c r="G267" s="307" t="s">
        <v>379</v>
      </c>
      <c r="H267" s="314">
        <v>9413104</v>
      </c>
      <c r="I267" s="260" t="s">
        <v>359</v>
      </c>
      <c r="J267" s="306" t="s">
        <v>381</v>
      </c>
      <c r="K267" s="292"/>
      <c r="L267" s="292">
        <v>2026</v>
      </c>
    </row>
    <row r="268" spans="2:12" ht="14.4" hidden="1">
      <c r="B268" s="292"/>
      <c r="C268" s="307" t="s">
        <v>429</v>
      </c>
      <c r="D268" s="311" t="e">
        <f ca="1">_xlfn.XLOOKUP(C268,'KODE PROJECT BARU'!$C$5:$C$98,'KODE PROJECT BARU'!$E$5:$E$98,"N/A",0,1)</f>
        <v>#NAME?</v>
      </c>
      <c r="E268" s="313" t="s">
        <v>382</v>
      </c>
      <c r="F268" s="307" t="s">
        <v>350</v>
      </c>
      <c r="G268" s="307" t="s">
        <v>379</v>
      </c>
      <c r="H268" s="314">
        <v>9413104</v>
      </c>
      <c r="I268" s="260" t="s">
        <v>360</v>
      </c>
      <c r="J268" s="306" t="s">
        <v>381</v>
      </c>
      <c r="K268" s="292"/>
      <c r="L268" s="292">
        <v>2026</v>
      </c>
    </row>
    <row r="269" spans="2:12" ht="14.4" hidden="1">
      <c r="B269" s="292"/>
      <c r="C269" s="307" t="s">
        <v>429</v>
      </c>
      <c r="D269" s="311" t="e">
        <f ca="1">_xlfn.XLOOKUP(C269,'KODE PROJECT BARU'!$C$5:$C$98,'KODE PROJECT BARU'!$E$5:$E$98,"N/A",0,1)</f>
        <v>#NAME?</v>
      </c>
      <c r="E269" s="313" t="s">
        <v>382</v>
      </c>
      <c r="F269" s="307" t="s">
        <v>350</v>
      </c>
      <c r="G269" s="307" t="s">
        <v>379</v>
      </c>
      <c r="H269" s="314">
        <v>9413104</v>
      </c>
      <c r="I269" s="307" t="s">
        <v>361</v>
      </c>
      <c r="J269" s="306" t="s">
        <v>381</v>
      </c>
      <c r="K269" s="292"/>
      <c r="L269" s="292">
        <v>2026</v>
      </c>
    </row>
    <row r="270" spans="2:12" ht="14.4" hidden="1">
      <c r="B270" s="292"/>
      <c r="C270" s="307" t="s">
        <v>429</v>
      </c>
      <c r="D270" s="311" t="e">
        <f ca="1">_xlfn.XLOOKUP(C270,'KODE PROJECT BARU'!$C$5:$C$98,'KODE PROJECT BARU'!$E$5:$E$98,"N/A",0,1)</f>
        <v>#NAME?</v>
      </c>
      <c r="E270" s="296" t="s">
        <v>382</v>
      </c>
      <c r="F270" s="260" t="s">
        <v>350</v>
      </c>
      <c r="G270" s="260" t="s">
        <v>379</v>
      </c>
      <c r="H270" s="295">
        <v>15000000</v>
      </c>
      <c r="I270" s="260" t="s">
        <v>380</v>
      </c>
      <c r="J270" s="292" t="s">
        <v>430</v>
      </c>
      <c r="K270" s="292"/>
      <c r="L270" s="292">
        <v>2026</v>
      </c>
    </row>
    <row r="271" spans="2:12" ht="14.4" hidden="1">
      <c r="B271" s="292"/>
      <c r="C271" s="307" t="s">
        <v>429</v>
      </c>
      <c r="D271" s="311" t="e">
        <f ca="1">_xlfn.XLOOKUP(C271,'KODE PROJECT BARU'!$C$5:$C$98,'KODE PROJECT BARU'!$E$5:$E$98,"N/A",0,1)</f>
        <v>#NAME?</v>
      </c>
      <c r="E271" s="296" t="s">
        <v>382</v>
      </c>
      <c r="F271" s="260" t="s">
        <v>350</v>
      </c>
      <c r="G271" s="260" t="s">
        <v>379</v>
      </c>
      <c r="H271" s="295">
        <v>15000000</v>
      </c>
      <c r="I271" s="260" t="s">
        <v>357</v>
      </c>
      <c r="J271" s="292" t="s">
        <v>430</v>
      </c>
      <c r="K271" s="292"/>
      <c r="L271" s="292">
        <v>2026</v>
      </c>
    </row>
    <row r="272" spans="2:12" ht="14.4" hidden="1">
      <c r="B272" s="292"/>
      <c r="C272" s="307" t="s">
        <v>429</v>
      </c>
      <c r="D272" s="311" t="e">
        <f ca="1">_xlfn.XLOOKUP(C272,'KODE PROJECT BARU'!$C$5:$C$98,'KODE PROJECT BARU'!$E$5:$E$98,"N/A",0,1)</f>
        <v>#NAME?</v>
      </c>
      <c r="E272" s="296" t="s">
        <v>382</v>
      </c>
      <c r="F272" s="260" t="s">
        <v>350</v>
      </c>
      <c r="G272" s="260" t="s">
        <v>379</v>
      </c>
      <c r="H272" s="295">
        <v>15000000</v>
      </c>
      <c r="I272" s="260" t="s">
        <v>358</v>
      </c>
      <c r="J272" s="292" t="s">
        <v>430</v>
      </c>
      <c r="K272" s="292"/>
      <c r="L272" s="292">
        <v>2026</v>
      </c>
    </row>
    <row r="273" spans="2:12" ht="14.4" hidden="1">
      <c r="B273" s="292"/>
      <c r="C273" s="307" t="s">
        <v>429</v>
      </c>
      <c r="D273" s="311" t="e">
        <f ca="1">_xlfn.XLOOKUP(C273,'KODE PROJECT BARU'!$C$5:$C$98,'KODE PROJECT BARU'!$E$5:$E$98,"N/A",0,1)</f>
        <v>#NAME?</v>
      </c>
      <c r="E273" s="296" t="s">
        <v>382</v>
      </c>
      <c r="F273" s="260" t="s">
        <v>350</v>
      </c>
      <c r="G273" s="260" t="s">
        <v>379</v>
      </c>
      <c r="H273" s="295">
        <v>15000000</v>
      </c>
      <c r="I273" s="260" t="s">
        <v>359</v>
      </c>
      <c r="J273" s="292" t="s">
        <v>430</v>
      </c>
      <c r="K273" s="292"/>
      <c r="L273" s="292">
        <v>2026</v>
      </c>
    </row>
    <row r="274" spans="2:12" ht="14.4" hidden="1">
      <c r="B274" s="292"/>
      <c r="C274" s="307" t="s">
        <v>429</v>
      </c>
      <c r="D274" s="311" t="e">
        <f ca="1">_xlfn.XLOOKUP(C274,'KODE PROJECT BARU'!$C$5:$C$98,'KODE PROJECT BARU'!$E$5:$E$98,"N/A",0,1)</f>
        <v>#NAME?</v>
      </c>
      <c r="E274" s="296" t="s">
        <v>382</v>
      </c>
      <c r="F274" s="260" t="s">
        <v>350</v>
      </c>
      <c r="G274" s="260" t="s">
        <v>379</v>
      </c>
      <c r="H274" s="295">
        <v>15000000</v>
      </c>
      <c r="I274" s="260" t="s">
        <v>360</v>
      </c>
      <c r="J274" s="292" t="s">
        <v>430</v>
      </c>
      <c r="K274" s="292"/>
      <c r="L274" s="292">
        <v>2026</v>
      </c>
    </row>
    <row r="275" spans="2:12" ht="14.4" hidden="1">
      <c r="B275" s="306"/>
      <c r="C275" s="307" t="s">
        <v>429</v>
      </c>
      <c r="D275" s="311" t="e">
        <f ca="1">_xlfn.XLOOKUP(C275,'KODE PROJECT BARU'!$C$5:$C$98,'KODE PROJECT BARU'!$E$5:$E$98,"N/A",0,1)</f>
        <v>#NAME?</v>
      </c>
      <c r="E275" s="313" t="s">
        <v>382</v>
      </c>
      <c r="F275" s="307" t="s">
        <v>350</v>
      </c>
      <c r="G275" s="307" t="s">
        <v>379</v>
      </c>
      <c r="H275" s="295">
        <v>15000000</v>
      </c>
      <c r="I275" s="307" t="s">
        <v>361</v>
      </c>
      <c r="J275" s="292" t="s">
        <v>430</v>
      </c>
      <c r="K275" s="306"/>
      <c r="L275" s="292">
        <v>2026</v>
      </c>
    </row>
    <row r="276" spans="2:12" ht="14.4" hidden="1">
      <c r="B276" s="306"/>
      <c r="C276" s="307" t="s">
        <v>431</v>
      </c>
      <c r="D276" s="311" t="e">
        <f ca="1">_xlfn.XLOOKUP(C276,'KODE PROJECT BARU'!$C$5:$C$98,'KODE PROJECT BARU'!$E$5:$E$98,"N/A",0,1)</f>
        <v>#NAME?</v>
      </c>
      <c r="E276" s="296" t="s">
        <v>374</v>
      </c>
      <c r="F276" s="260" t="s">
        <v>350</v>
      </c>
      <c r="G276" s="260" t="s">
        <v>379</v>
      </c>
      <c r="H276" s="295">
        <v>75000000</v>
      </c>
      <c r="I276" s="260" t="s">
        <v>380</v>
      </c>
      <c r="J276" s="306" t="s">
        <v>426</v>
      </c>
      <c r="K276" s="306"/>
      <c r="L276" s="292">
        <v>2026</v>
      </c>
    </row>
    <row r="277" spans="2:12" ht="14.4" hidden="1">
      <c r="B277" s="292"/>
      <c r="C277" s="307" t="s">
        <v>431</v>
      </c>
      <c r="D277" s="311" t="e">
        <f ca="1">_xlfn.XLOOKUP(C277,'KODE PROJECT BARU'!$C$5:$C$98,'KODE PROJECT BARU'!$E$5:$E$98,"N/A",0,1)</f>
        <v>#NAME?</v>
      </c>
      <c r="E277" s="296" t="s">
        <v>374</v>
      </c>
      <c r="F277" s="260" t="s">
        <v>350</v>
      </c>
      <c r="G277" s="260" t="s">
        <v>379</v>
      </c>
      <c r="H277" s="295">
        <v>75000000</v>
      </c>
      <c r="I277" s="260" t="s">
        <v>357</v>
      </c>
      <c r="J277" s="306" t="s">
        <v>426</v>
      </c>
      <c r="K277" s="292"/>
      <c r="L277" s="292">
        <v>2026</v>
      </c>
    </row>
    <row r="278" spans="2:12" ht="14.4" hidden="1">
      <c r="B278" s="292"/>
      <c r="C278" s="307" t="s">
        <v>431</v>
      </c>
      <c r="D278" s="311" t="e">
        <f ca="1">_xlfn.XLOOKUP(C278,'KODE PROJECT BARU'!$C$5:$C$98,'KODE PROJECT BARU'!$E$5:$E$98,"N/A",0,1)</f>
        <v>#NAME?</v>
      </c>
      <c r="E278" s="296" t="s">
        <v>374</v>
      </c>
      <c r="F278" s="260" t="s">
        <v>350</v>
      </c>
      <c r="G278" s="260" t="s">
        <v>379</v>
      </c>
      <c r="H278" s="295">
        <v>75000000</v>
      </c>
      <c r="I278" s="260" t="s">
        <v>358</v>
      </c>
      <c r="J278" s="306" t="s">
        <v>426</v>
      </c>
      <c r="K278" s="292"/>
      <c r="L278" s="292">
        <v>2026</v>
      </c>
    </row>
    <row r="279" spans="2:12" ht="14.4" hidden="1">
      <c r="B279" s="292"/>
      <c r="C279" s="307" t="s">
        <v>431</v>
      </c>
      <c r="D279" s="311" t="e">
        <f ca="1">_xlfn.XLOOKUP(C279,'KODE PROJECT BARU'!$C$5:$C$98,'KODE PROJECT BARU'!$E$5:$E$98,"N/A",0,1)</f>
        <v>#NAME?</v>
      </c>
      <c r="E279" s="296" t="s">
        <v>374</v>
      </c>
      <c r="F279" s="260" t="s">
        <v>350</v>
      </c>
      <c r="G279" s="260" t="s">
        <v>379</v>
      </c>
      <c r="H279" s="295">
        <v>75000000</v>
      </c>
      <c r="I279" s="260" t="s">
        <v>359</v>
      </c>
      <c r="J279" s="306" t="s">
        <v>426</v>
      </c>
      <c r="K279" s="292"/>
      <c r="L279" s="292">
        <v>2026</v>
      </c>
    </row>
    <row r="280" spans="2:12" ht="14.4" hidden="1">
      <c r="B280" s="292"/>
      <c r="C280" s="307" t="s">
        <v>431</v>
      </c>
      <c r="D280" s="311" t="e">
        <f ca="1">_xlfn.XLOOKUP(C280,'KODE PROJECT BARU'!$C$5:$C$98,'KODE PROJECT BARU'!$E$5:$E$98,"N/A",0,1)</f>
        <v>#NAME?</v>
      </c>
      <c r="E280" s="296" t="s">
        <v>374</v>
      </c>
      <c r="F280" s="260" t="s">
        <v>350</v>
      </c>
      <c r="G280" s="260" t="s">
        <v>379</v>
      </c>
      <c r="H280" s="295">
        <v>75000000</v>
      </c>
      <c r="I280" s="260" t="s">
        <v>360</v>
      </c>
      <c r="J280" s="306" t="s">
        <v>426</v>
      </c>
      <c r="K280" s="292"/>
      <c r="L280" s="292">
        <v>2026</v>
      </c>
    </row>
    <row r="281" spans="2:12" ht="14.4" hidden="1">
      <c r="B281" s="292"/>
      <c r="C281" s="307" t="s">
        <v>431</v>
      </c>
      <c r="D281" s="311" t="e">
        <f ca="1">_xlfn.XLOOKUP(C281,'KODE PROJECT BARU'!$C$5:$C$98,'KODE PROJECT BARU'!$E$5:$E$98,"N/A",0,1)</f>
        <v>#NAME?</v>
      </c>
      <c r="E281" s="313" t="s">
        <v>374</v>
      </c>
      <c r="F281" s="307" t="s">
        <v>350</v>
      </c>
      <c r="G281" s="307" t="s">
        <v>379</v>
      </c>
      <c r="H281" s="295">
        <v>75000000</v>
      </c>
      <c r="I281" s="307" t="s">
        <v>361</v>
      </c>
      <c r="J281" s="306" t="s">
        <v>426</v>
      </c>
      <c r="K281" s="292"/>
      <c r="L281" s="292">
        <v>2026</v>
      </c>
    </row>
    <row r="282" spans="2:12" ht="14.4" hidden="1">
      <c r="B282" s="292"/>
      <c r="C282" s="307" t="s">
        <v>432</v>
      </c>
      <c r="D282" s="311" t="e">
        <f ca="1">_xlfn.XLOOKUP(C282,'KODE PROJECT BARU'!$C$5:$C$98,'KODE PROJECT BARU'!$E$5:$E$98,"N/A",0,1)</f>
        <v>#NAME?</v>
      </c>
      <c r="E282" s="296" t="s">
        <v>374</v>
      </c>
      <c r="F282" s="260" t="s">
        <v>350</v>
      </c>
      <c r="G282" s="260" t="s">
        <v>379</v>
      </c>
      <c r="H282" s="295">
        <v>413867906</v>
      </c>
      <c r="I282" s="260" t="s">
        <v>380</v>
      </c>
      <c r="J282" s="292" t="s">
        <v>433</v>
      </c>
      <c r="K282" s="292"/>
      <c r="L282" s="292">
        <v>2026</v>
      </c>
    </row>
    <row r="283" spans="2:12" ht="14.4" hidden="1">
      <c r="B283" s="292"/>
      <c r="C283" s="307" t="s">
        <v>432</v>
      </c>
      <c r="D283" s="311" t="e">
        <f ca="1">_xlfn.XLOOKUP(C283,'KODE PROJECT BARU'!$C$5:$C$98,'KODE PROJECT BARU'!$E$5:$E$98,"N/A",0,1)</f>
        <v>#NAME?</v>
      </c>
      <c r="E283" s="296" t="s">
        <v>374</v>
      </c>
      <c r="F283" s="260" t="s">
        <v>350</v>
      </c>
      <c r="G283" s="260" t="s">
        <v>379</v>
      </c>
      <c r="H283" s="295">
        <v>413867906</v>
      </c>
      <c r="I283" s="260" t="s">
        <v>357</v>
      </c>
      <c r="J283" s="292" t="s">
        <v>433</v>
      </c>
      <c r="K283" s="292"/>
      <c r="L283" s="292">
        <v>2026</v>
      </c>
    </row>
    <row r="284" spans="2:12" ht="14.4" hidden="1">
      <c r="B284" s="292"/>
      <c r="C284" s="307" t="s">
        <v>432</v>
      </c>
      <c r="D284" s="311" t="e">
        <f ca="1">_xlfn.XLOOKUP(C284,'KODE PROJECT BARU'!$C$5:$C$98,'KODE PROJECT BARU'!$E$5:$E$98,"N/A",0,1)</f>
        <v>#NAME?</v>
      </c>
      <c r="E284" s="296" t="s">
        <v>374</v>
      </c>
      <c r="F284" s="260" t="s">
        <v>350</v>
      </c>
      <c r="G284" s="260" t="s">
        <v>379</v>
      </c>
      <c r="H284" s="295">
        <v>413867906</v>
      </c>
      <c r="I284" s="260" t="s">
        <v>358</v>
      </c>
      <c r="J284" s="292" t="s">
        <v>433</v>
      </c>
      <c r="K284" s="292"/>
      <c r="L284" s="292">
        <v>2026</v>
      </c>
    </row>
    <row r="285" spans="2:12" ht="14.4" hidden="1">
      <c r="B285" s="292"/>
      <c r="C285" s="307" t="s">
        <v>432</v>
      </c>
      <c r="D285" s="311" t="e">
        <f ca="1">_xlfn.XLOOKUP(C285,'KODE PROJECT BARU'!$C$5:$C$98,'KODE PROJECT BARU'!$E$5:$E$98,"N/A",0,1)</f>
        <v>#NAME?</v>
      </c>
      <c r="E285" s="296" t="s">
        <v>374</v>
      </c>
      <c r="F285" s="260" t="s">
        <v>350</v>
      </c>
      <c r="G285" s="260" t="s">
        <v>379</v>
      </c>
      <c r="H285" s="295">
        <v>413867906</v>
      </c>
      <c r="I285" s="260" t="s">
        <v>359</v>
      </c>
      <c r="J285" s="292" t="s">
        <v>433</v>
      </c>
      <c r="K285" s="292"/>
      <c r="L285" s="292">
        <v>2026</v>
      </c>
    </row>
    <row r="286" spans="2:12" ht="14.4" hidden="1">
      <c r="B286" s="292"/>
      <c r="C286" s="307" t="s">
        <v>432</v>
      </c>
      <c r="D286" s="311" t="e">
        <f ca="1">_xlfn.XLOOKUP(C286,'KODE PROJECT BARU'!$C$5:$C$98,'KODE PROJECT BARU'!$E$5:$E$98,"N/A",0,1)</f>
        <v>#NAME?</v>
      </c>
      <c r="E286" s="296" t="s">
        <v>374</v>
      </c>
      <c r="F286" s="260" t="s">
        <v>350</v>
      </c>
      <c r="G286" s="260" t="s">
        <v>379</v>
      </c>
      <c r="H286" s="295">
        <v>413867906</v>
      </c>
      <c r="I286" s="260" t="s">
        <v>360</v>
      </c>
      <c r="J286" s="292" t="s">
        <v>433</v>
      </c>
      <c r="K286" s="292"/>
      <c r="L286" s="292">
        <v>2026</v>
      </c>
    </row>
    <row r="287" spans="2:12" ht="14.4" hidden="1">
      <c r="B287" s="306"/>
      <c r="C287" s="307" t="s">
        <v>432</v>
      </c>
      <c r="D287" s="311" t="e">
        <f ca="1">_xlfn.XLOOKUP(C287,'KODE PROJECT BARU'!$C$5:$C$98,'KODE PROJECT BARU'!$E$5:$E$98,"N/A",0,1)</f>
        <v>#NAME?</v>
      </c>
      <c r="E287" s="313" t="s">
        <v>374</v>
      </c>
      <c r="F287" s="307" t="s">
        <v>350</v>
      </c>
      <c r="G287" s="307" t="s">
        <v>379</v>
      </c>
      <c r="H287" s="295">
        <v>413867906</v>
      </c>
      <c r="I287" s="307" t="s">
        <v>361</v>
      </c>
      <c r="J287" s="292" t="s">
        <v>433</v>
      </c>
      <c r="K287" s="306"/>
      <c r="L287" s="292">
        <v>2026</v>
      </c>
    </row>
    <row r="288" spans="2:12" ht="14.4" hidden="1">
      <c r="B288" s="292"/>
      <c r="C288" s="307" t="s">
        <v>432</v>
      </c>
      <c r="D288" s="311" t="e">
        <f ca="1">_xlfn.XLOOKUP(C288,'KODE PROJECT BARU'!$C$5:$C$98,'KODE PROJECT BARU'!$E$5:$E$98,"N/A",0,1)</f>
        <v>#NAME?</v>
      </c>
      <c r="E288" s="296" t="s">
        <v>374</v>
      </c>
      <c r="F288" s="260" t="s">
        <v>350</v>
      </c>
      <c r="G288" s="260" t="s">
        <v>379</v>
      </c>
      <c r="H288" s="295">
        <v>315634540</v>
      </c>
      <c r="I288" s="260" t="s">
        <v>380</v>
      </c>
      <c r="J288" s="292" t="s">
        <v>433</v>
      </c>
      <c r="K288" s="292"/>
      <c r="L288" s="292">
        <v>2026</v>
      </c>
    </row>
    <row r="289" spans="2:12" ht="14.4" hidden="1">
      <c r="B289" s="292"/>
      <c r="C289" s="307" t="s">
        <v>428</v>
      </c>
      <c r="D289" s="311" t="e">
        <f ca="1">_xlfn.XLOOKUP(C289,'KODE PROJECT BARU'!$C$5:$C$98,'KODE PROJECT BARU'!$E$5:$E$98,"N/A",0,1)</f>
        <v>#NAME?</v>
      </c>
      <c r="E289" s="296" t="s">
        <v>382</v>
      </c>
      <c r="F289" s="260" t="s">
        <v>350</v>
      </c>
      <c r="G289" s="260" t="s">
        <v>379</v>
      </c>
      <c r="H289" s="295">
        <v>70000000</v>
      </c>
      <c r="I289" s="260" t="s">
        <v>380</v>
      </c>
      <c r="J289" s="292" t="s">
        <v>434</v>
      </c>
      <c r="K289" s="292"/>
      <c r="L289" s="292">
        <v>2026</v>
      </c>
    </row>
    <row r="290" spans="2:12" ht="14.4" hidden="1">
      <c r="B290" s="292"/>
      <c r="C290" s="307" t="s">
        <v>428</v>
      </c>
      <c r="D290" s="311" t="e">
        <f ca="1">_xlfn.XLOOKUP(C290,'KODE PROJECT BARU'!$C$5:$C$98,'KODE PROJECT BARU'!$E$5:$E$98,"N/A",0,1)</f>
        <v>#NAME?</v>
      </c>
      <c r="E290" s="296" t="s">
        <v>382</v>
      </c>
      <c r="F290" s="260" t="s">
        <v>350</v>
      </c>
      <c r="G290" s="260" t="s">
        <v>379</v>
      </c>
      <c r="H290" s="295">
        <v>70000000</v>
      </c>
      <c r="I290" s="260" t="s">
        <v>357</v>
      </c>
      <c r="J290" s="292" t="s">
        <v>434</v>
      </c>
      <c r="K290" s="292"/>
      <c r="L290" s="292">
        <v>2026</v>
      </c>
    </row>
    <row r="291" spans="2:12" ht="14.4" hidden="1">
      <c r="B291" s="292"/>
      <c r="C291" s="307" t="s">
        <v>428</v>
      </c>
      <c r="D291" s="311" t="e">
        <f ca="1">_xlfn.XLOOKUP(C291,'KODE PROJECT BARU'!$C$5:$C$98,'KODE PROJECT BARU'!$E$5:$E$98,"N/A",0,1)</f>
        <v>#NAME?</v>
      </c>
      <c r="E291" s="296" t="s">
        <v>382</v>
      </c>
      <c r="F291" s="260" t="s">
        <v>350</v>
      </c>
      <c r="G291" s="260" t="s">
        <v>379</v>
      </c>
      <c r="H291" s="295">
        <v>70000000</v>
      </c>
      <c r="I291" s="260" t="s">
        <v>358</v>
      </c>
      <c r="J291" s="292" t="s">
        <v>434</v>
      </c>
      <c r="K291" s="292"/>
      <c r="L291" s="292">
        <v>2026</v>
      </c>
    </row>
    <row r="292" spans="2:12" ht="14.4" hidden="1">
      <c r="B292" s="292"/>
      <c r="C292" s="307" t="s">
        <v>428</v>
      </c>
      <c r="D292" s="311" t="e">
        <f ca="1">_xlfn.XLOOKUP(C292,'KODE PROJECT BARU'!$C$5:$C$98,'KODE PROJECT BARU'!$E$5:$E$98,"N/A",0,1)</f>
        <v>#NAME?</v>
      </c>
      <c r="E292" s="296" t="s">
        <v>382</v>
      </c>
      <c r="F292" s="260" t="s">
        <v>350</v>
      </c>
      <c r="G292" s="260" t="s">
        <v>379</v>
      </c>
      <c r="H292" s="295">
        <v>70000000</v>
      </c>
      <c r="I292" s="260" t="s">
        <v>359</v>
      </c>
      <c r="J292" s="292" t="s">
        <v>434</v>
      </c>
      <c r="K292" s="292"/>
      <c r="L292" s="292">
        <v>2026</v>
      </c>
    </row>
    <row r="293" spans="2:12" ht="14.4" hidden="1">
      <c r="B293" s="306"/>
      <c r="C293" s="307" t="s">
        <v>428</v>
      </c>
      <c r="D293" s="311" t="e">
        <f ca="1">_xlfn.XLOOKUP(C293,'KODE PROJECT BARU'!$C$5:$C$98,'KODE PROJECT BARU'!$E$5:$E$98,"N/A",0,1)</f>
        <v>#NAME?</v>
      </c>
      <c r="E293" s="296" t="s">
        <v>382</v>
      </c>
      <c r="F293" s="260" t="s">
        <v>350</v>
      </c>
      <c r="G293" s="260" t="s">
        <v>379</v>
      </c>
      <c r="H293" s="295">
        <v>70000000</v>
      </c>
      <c r="I293" s="260" t="s">
        <v>360</v>
      </c>
      <c r="J293" s="292" t="s">
        <v>434</v>
      </c>
      <c r="K293" s="306"/>
      <c r="L293" s="292">
        <v>2026</v>
      </c>
    </row>
    <row r="294" spans="2:12" ht="14.4" hidden="1">
      <c r="B294" s="292"/>
      <c r="C294" s="307" t="s">
        <v>428</v>
      </c>
      <c r="D294" s="311" t="e">
        <f ca="1">_xlfn.XLOOKUP(C294,'KODE PROJECT BARU'!$C$5:$C$98,'KODE PROJECT BARU'!$E$5:$E$98,"N/A",0,1)</f>
        <v>#NAME?</v>
      </c>
      <c r="E294" s="313" t="s">
        <v>382</v>
      </c>
      <c r="F294" s="307" t="s">
        <v>350</v>
      </c>
      <c r="G294" s="307" t="s">
        <v>379</v>
      </c>
      <c r="H294" s="295">
        <v>70000000</v>
      </c>
      <c r="I294" s="307" t="s">
        <v>361</v>
      </c>
      <c r="J294" s="292" t="s">
        <v>434</v>
      </c>
      <c r="K294" s="292"/>
      <c r="L294" s="260">
        <v>2026</v>
      </c>
    </row>
  </sheetData>
  <pageMargins left="0.7" right="0.7" top="0.75" bottom="0.75" header="0.3" footer="0.3"/>
  <pageSetup paperSize="9" orientation="portrait" horizontalDpi="0" verticalDpi="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2FC4-82C4-FD42-8F47-35BF1234B3DA}">
  <dimension ref="A1:K47"/>
  <sheetViews>
    <sheetView zoomScaleNormal="100" workbookViewId="0">
      <selection activeCell="C17" sqref="C17"/>
    </sheetView>
  </sheetViews>
  <sheetFormatPr defaultColWidth="11.3984375" defaultRowHeight="13.8"/>
  <cols>
    <col min="1" max="1" width="6.09765625" bestFit="1" customWidth="1"/>
    <col min="2" max="2" width="16.3984375" style="6" bestFit="1" customWidth="1"/>
    <col min="3" max="3" width="112" style="6" bestFit="1" customWidth="1"/>
    <col min="4" max="4" width="28" style="6" bestFit="1" customWidth="1"/>
    <col min="5" max="5" width="12.3984375" bestFit="1" customWidth="1"/>
    <col min="6" max="6" width="12.69921875" bestFit="1" customWidth="1"/>
    <col min="7" max="7" width="17.69921875" bestFit="1" customWidth="1"/>
    <col min="8" max="8" width="12.69921875" bestFit="1" customWidth="1"/>
    <col min="9" max="9" width="68.3984375" bestFit="1" customWidth="1"/>
    <col min="10" max="10" width="13.69921875" bestFit="1" customWidth="1"/>
    <col min="11" max="11" width="14.69921875" bestFit="1" customWidth="1"/>
  </cols>
  <sheetData>
    <row r="1" spans="1:11">
      <c r="D1" s="29"/>
    </row>
    <row r="2" spans="1:11" ht="15.6">
      <c r="A2" s="58" t="s">
        <v>362</v>
      </c>
      <c r="B2" s="30" t="s">
        <v>435</v>
      </c>
      <c r="C2" s="30" t="s">
        <v>436</v>
      </c>
      <c r="D2" s="30" t="s">
        <v>437</v>
      </c>
      <c r="E2" s="30" t="s">
        <v>438</v>
      </c>
      <c r="F2" s="54" t="s">
        <v>439</v>
      </c>
      <c r="G2" s="30" t="s">
        <v>440</v>
      </c>
      <c r="H2" s="30" t="s">
        <v>441</v>
      </c>
      <c r="J2" s="4"/>
      <c r="K2" s="4"/>
    </row>
    <row r="3" spans="1:11">
      <c r="A3">
        <v>1</v>
      </c>
      <c r="B3" s="37" t="s">
        <v>442</v>
      </c>
      <c r="C3" s="276" t="s">
        <v>443</v>
      </c>
      <c r="D3" s="5" t="s">
        <v>444</v>
      </c>
      <c r="E3" t="s">
        <v>445</v>
      </c>
      <c r="F3" t="s">
        <v>446</v>
      </c>
      <c r="G3" s="31">
        <v>46023</v>
      </c>
      <c r="J3" s="4"/>
      <c r="K3" s="4"/>
    </row>
    <row r="4" spans="1:11">
      <c r="A4">
        <v>2</v>
      </c>
      <c r="B4" s="39" t="s">
        <v>442</v>
      </c>
      <c r="C4" s="38" t="s">
        <v>447</v>
      </c>
      <c r="D4" s="5" t="s">
        <v>448</v>
      </c>
      <c r="E4" t="s">
        <v>449</v>
      </c>
      <c r="F4" t="s">
        <v>446</v>
      </c>
      <c r="G4" s="31">
        <v>46022</v>
      </c>
      <c r="J4" s="4"/>
      <c r="K4" s="4"/>
    </row>
    <row r="5" spans="1:11">
      <c r="A5">
        <v>3</v>
      </c>
      <c r="B5" s="42" t="s">
        <v>442</v>
      </c>
      <c r="C5" s="43" t="s">
        <v>450</v>
      </c>
      <c r="D5" s="45" t="s">
        <v>448</v>
      </c>
      <c r="E5" s="44" t="s">
        <v>449</v>
      </c>
      <c r="F5" s="44" t="s">
        <v>446</v>
      </c>
      <c r="G5" s="46">
        <v>46288</v>
      </c>
      <c r="J5" s="4"/>
      <c r="K5" s="4"/>
    </row>
    <row r="6" spans="1:11">
      <c r="A6">
        <v>4</v>
      </c>
      <c r="B6" s="42" t="s">
        <v>442</v>
      </c>
      <c r="C6" s="43" t="s">
        <v>451</v>
      </c>
      <c r="D6" s="45" t="s">
        <v>448</v>
      </c>
      <c r="E6" s="44" t="s">
        <v>452</v>
      </c>
      <c r="F6" s="44" t="s">
        <v>446</v>
      </c>
      <c r="G6" s="46">
        <v>46387</v>
      </c>
      <c r="J6" s="4"/>
      <c r="K6" s="4"/>
    </row>
    <row r="7" spans="1:11">
      <c r="A7">
        <v>5</v>
      </c>
      <c r="B7" s="39" t="s">
        <v>442</v>
      </c>
      <c r="C7" s="38" t="s">
        <v>453</v>
      </c>
      <c r="D7" s="5" t="s">
        <v>454</v>
      </c>
      <c r="E7" t="s">
        <v>455</v>
      </c>
      <c r="F7" t="s">
        <v>446</v>
      </c>
      <c r="G7" s="31">
        <v>45443</v>
      </c>
      <c r="J7" s="4"/>
      <c r="K7" s="4"/>
    </row>
    <row r="8" spans="1:11">
      <c r="A8">
        <v>6</v>
      </c>
      <c r="B8" s="37" t="s">
        <v>442</v>
      </c>
      <c r="C8" s="53" t="s">
        <v>456</v>
      </c>
      <c r="D8" s="48" t="s">
        <v>448</v>
      </c>
      <c r="E8" s="22" t="s">
        <v>449</v>
      </c>
      <c r="F8" s="22" t="s">
        <v>446</v>
      </c>
      <c r="G8" s="31">
        <v>45657</v>
      </c>
    </row>
    <row r="9" spans="1:11">
      <c r="A9">
        <v>7</v>
      </c>
      <c r="B9" s="39" t="s">
        <v>442</v>
      </c>
      <c r="C9" s="38" t="s">
        <v>457</v>
      </c>
      <c r="D9" s="5" t="s">
        <v>448</v>
      </c>
      <c r="E9" t="s">
        <v>458</v>
      </c>
      <c r="F9" t="s">
        <v>446</v>
      </c>
      <c r="G9" s="31">
        <v>46022</v>
      </c>
    </row>
    <row r="10" spans="1:11">
      <c r="A10">
        <v>8</v>
      </c>
      <c r="B10" s="39" t="s">
        <v>442</v>
      </c>
      <c r="C10" s="38" t="s">
        <v>459</v>
      </c>
      <c r="D10" s="5" t="s">
        <v>448</v>
      </c>
      <c r="E10" t="s">
        <v>452</v>
      </c>
      <c r="F10" t="s">
        <v>446</v>
      </c>
      <c r="G10" s="31">
        <v>46022</v>
      </c>
    </row>
    <row r="11" spans="1:11">
      <c r="A11">
        <v>9</v>
      </c>
      <c r="B11" s="39" t="s">
        <v>442</v>
      </c>
      <c r="C11" s="38" t="s">
        <v>460</v>
      </c>
      <c r="D11" s="5" t="s">
        <v>448</v>
      </c>
      <c r="E11" t="s">
        <v>449</v>
      </c>
      <c r="F11" t="s">
        <v>446</v>
      </c>
      <c r="G11" s="31">
        <v>46022</v>
      </c>
    </row>
    <row r="12" spans="1:11">
      <c r="A12">
        <v>10</v>
      </c>
      <c r="B12" s="39"/>
      <c r="C12" s="40" t="s">
        <v>461</v>
      </c>
      <c r="D12" s="41" t="s">
        <v>448</v>
      </c>
      <c r="E12" s="8" t="s">
        <v>462</v>
      </c>
      <c r="F12" s="8" t="s">
        <v>446</v>
      </c>
    </row>
    <row r="13" spans="1:11">
      <c r="A13">
        <v>11</v>
      </c>
      <c r="B13" s="39" t="s">
        <v>442</v>
      </c>
      <c r="C13" s="38" t="s">
        <v>463</v>
      </c>
      <c r="D13" s="5" t="s">
        <v>448</v>
      </c>
      <c r="E13" t="s">
        <v>464</v>
      </c>
      <c r="F13" t="s">
        <v>465</v>
      </c>
      <c r="G13" s="31">
        <v>46022</v>
      </c>
    </row>
    <row r="14" spans="1:11">
      <c r="A14">
        <v>12</v>
      </c>
      <c r="B14" s="37" t="s">
        <v>442</v>
      </c>
      <c r="C14" s="38" t="s">
        <v>466</v>
      </c>
      <c r="D14" s="5" t="s">
        <v>448</v>
      </c>
      <c r="E14" t="s">
        <v>467</v>
      </c>
      <c r="F14" t="s">
        <v>468</v>
      </c>
      <c r="G14" s="31">
        <v>45994</v>
      </c>
    </row>
    <row r="15" spans="1:11">
      <c r="A15">
        <v>13</v>
      </c>
      <c r="B15" s="37" t="s">
        <v>442</v>
      </c>
      <c r="C15" s="38" t="s">
        <v>469</v>
      </c>
      <c r="D15" s="5" t="s">
        <v>448</v>
      </c>
      <c r="E15" t="s">
        <v>470</v>
      </c>
      <c r="F15" t="s">
        <v>471</v>
      </c>
      <c r="G15" s="31">
        <v>46022</v>
      </c>
    </row>
    <row r="16" spans="1:11">
      <c r="A16">
        <v>14</v>
      </c>
      <c r="B16" s="39" t="s">
        <v>472</v>
      </c>
      <c r="C16" s="38" t="s">
        <v>473</v>
      </c>
      <c r="D16" s="5" t="s">
        <v>448</v>
      </c>
      <c r="E16" t="s">
        <v>470</v>
      </c>
      <c r="F16" t="s">
        <v>471</v>
      </c>
      <c r="G16" s="31">
        <v>46022</v>
      </c>
    </row>
    <row r="17" spans="1:7">
      <c r="A17">
        <v>15</v>
      </c>
      <c r="B17" s="39" t="s">
        <v>472</v>
      </c>
      <c r="C17" s="38" t="s">
        <v>474</v>
      </c>
      <c r="D17" s="5" t="s">
        <v>448</v>
      </c>
      <c r="E17" t="s">
        <v>470</v>
      </c>
      <c r="F17" t="s">
        <v>471</v>
      </c>
      <c r="G17" s="31">
        <v>46022</v>
      </c>
    </row>
    <row r="18" spans="1:7">
      <c r="A18">
        <v>16</v>
      </c>
      <c r="B18" s="39" t="s">
        <v>472</v>
      </c>
      <c r="C18" s="38" t="s">
        <v>475</v>
      </c>
      <c r="D18" s="5" t="s">
        <v>448</v>
      </c>
      <c r="E18" t="s">
        <v>476</v>
      </c>
      <c r="F18" t="s">
        <v>471</v>
      </c>
      <c r="G18" s="31">
        <v>46022</v>
      </c>
    </row>
    <row r="19" spans="1:7">
      <c r="A19">
        <v>17</v>
      </c>
      <c r="B19" s="39" t="s">
        <v>472</v>
      </c>
      <c r="C19" s="38" t="s">
        <v>477</v>
      </c>
      <c r="D19" s="5" t="s">
        <v>448</v>
      </c>
      <c r="E19" t="s">
        <v>470</v>
      </c>
      <c r="F19" t="s">
        <v>471</v>
      </c>
      <c r="G19" s="31">
        <v>46022</v>
      </c>
    </row>
    <row r="20" spans="1:7">
      <c r="A20">
        <v>18</v>
      </c>
      <c r="B20" s="39"/>
      <c r="C20" s="40" t="s">
        <v>478</v>
      </c>
      <c r="D20" s="41" t="s">
        <v>448</v>
      </c>
      <c r="E20" s="8" t="s">
        <v>470</v>
      </c>
      <c r="F20" s="8" t="s">
        <v>471</v>
      </c>
    </row>
    <row r="21" spans="1:7">
      <c r="A21">
        <v>19</v>
      </c>
      <c r="B21" s="37" t="s">
        <v>472</v>
      </c>
      <c r="C21" s="38" t="s">
        <v>479</v>
      </c>
      <c r="D21" s="5" t="s">
        <v>448</v>
      </c>
      <c r="E21" t="s">
        <v>470</v>
      </c>
      <c r="F21" t="s">
        <v>471</v>
      </c>
      <c r="G21" s="31">
        <v>46022</v>
      </c>
    </row>
    <row r="22" spans="1:7">
      <c r="A22">
        <v>20</v>
      </c>
      <c r="B22" s="47" t="s">
        <v>442</v>
      </c>
      <c r="C22" s="43" t="s">
        <v>480</v>
      </c>
      <c r="D22" s="45" t="s">
        <v>448</v>
      </c>
      <c r="E22" s="44" t="s">
        <v>470</v>
      </c>
      <c r="F22" s="44" t="s">
        <v>471</v>
      </c>
      <c r="G22" s="46">
        <v>46357</v>
      </c>
    </row>
    <row r="23" spans="1:7">
      <c r="A23">
        <v>21</v>
      </c>
      <c r="B23" s="39"/>
      <c r="C23" s="40" t="s">
        <v>481</v>
      </c>
      <c r="D23" s="41" t="s">
        <v>448</v>
      </c>
    </row>
    <row r="24" spans="1:7">
      <c r="E24" s="11"/>
    </row>
    <row r="25" spans="1:7">
      <c r="A25" s="109" t="s">
        <v>362</v>
      </c>
      <c r="B25" s="180" t="s">
        <v>482</v>
      </c>
      <c r="C25" s="180" t="s">
        <v>436</v>
      </c>
      <c r="D25" s="180" t="s">
        <v>437</v>
      </c>
      <c r="E25" s="181" t="s">
        <v>483</v>
      </c>
      <c r="F25" s="180" t="s">
        <v>441</v>
      </c>
    </row>
    <row r="26" spans="1:7">
      <c r="A26">
        <v>1</v>
      </c>
      <c r="B26" t="s">
        <v>484</v>
      </c>
      <c r="C26" t="s">
        <v>485</v>
      </c>
      <c r="D26" s="6" t="s">
        <v>486</v>
      </c>
      <c r="E26" s="61">
        <v>46125</v>
      </c>
      <c r="F26" s="6">
        <v>140552312</v>
      </c>
    </row>
    <row r="27" spans="1:7">
      <c r="A27">
        <v>2</v>
      </c>
      <c r="B27" t="s">
        <v>484</v>
      </c>
      <c r="C27" t="s">
        <v>487</v>
      </c>
      <c r="D27" s="6" t="s">
        <v>486</v>
      </c>
      <c r="E27" s="61">
        <v>46181</v>
      </c>
      <c r="F27" s="6">
        <v>687369348</v>
      </c>
    </row>
    <row r="28" spans="1:7">
      <c r="A28">
        <v>3</v>
      </c>
      <c r="B28" t="s">
        <v>484</v>
      </c>
      <c r="C28" t="s">
        <v>488</v>
      </c>
      <c r="D28" s="6" t="s">
        <v>486</v>
      </c>
      <c r="E28" s="61">
        <v>46192</v>
      </c>
      <c r="F28" s="6">
        <v>695673676</v>
      </c>
    </row>
    <row r="29" spans="1:7">
      <c r="B29"/>
      <c r="C29"/>
      <c r="E29" s="11"/>
    </row>
    <row r="30" spans="1:7">
      <c r="B30"/>
      <c r="C30"/>
      <c r="E30" s="11"/>
    </row>
    <row r="31" spans="1:7">
      <c r="B31"/>
      <c r="C31"/>
      <c r="E31" s="11"/>
    </row>
    <row r="32" spans="1:7">
      <c r="B32"/>
      <c r="C32"/>
      <c r="E32" s="11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</sheetData>
  <sheetProtection algorithmName="SHA-512" hashValue="dLRHqKeZ0W2exHRgZrM/5JywT5KFsf3UZrX7kFj60Nvgmqwq5qjkwm7t4SkJx2q5uVUu3maOCLy4tmgBgpkmbA==" saltValue="b90HIM16c5UV1hBXUBCn1A==" spinCount="100000" sheet="1" objects="1" scenarios="1"/>
  <autoFilter ref="A2:G2" xr:uid="{84352FC4-82C4-FD42-8F47-35BF1234B3DA}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F680-1BFB-8942-9FD3-8D56A654107D}">
  <dimension ref="A2:K77"/>
  <sheetViews>
    <sheetView topLeftCell="A16" zoomScale="80" zoomScaleNormal="80" workbookViewId="0">
      <selection activeCell="C26" sqref="C26"/>
    </sheetView>
  </sheetViews>
  <sheetFormatPr defaultColWidth="11.3984375" defaultRowHeight="13.8"/>
  <cols>
    <col min="1" max="1" width="14.09765625" bestFit="1" customWidth="1"/>
    <col min="2" max="2" width="17" bestFit="1" customWidth="1"/>
    <col min="3" max="3" width="123.09765625" bestFit="1" customWidth="1"/>
    <col min="4" max="4" width="12.09765625" bestFit="1" customWidth="1"/>
    <col min="5" max="5" width="9.09765625" bestFit="1" customWidth="1"/>
    <col min="6" max="6" width="14.69921875" bestFit="1" customWidth="1"/>
    <col min="7" max="7" width="19" bestFit="1" customWidth="1"/>
    <col min="8" max="8" width="10.296875" bestFit="1" customWidth="1"/>
    <col min="9" max="9" width="16" bestFit="1" customWidth="1"/>
    <col min="10" max="10" width="16.69921875" bestFit="1" customWidth="1"/>
    <col min="11" max="11" width="99.3984375" bestFit="1" customWidth="1"/>
  </cols>
  <sheetData>
    <row r="2" spans="1:11">
      <c r="A2" s="154" t="s">
        <v>489</v>
      </c>
      <c r="B2" s="154" t="s">
        <v>490</v>
      </c>
      <c r="C2" s="154" t="s">
        <v>491</v>
      </c>
      <c r="D2" s="154" t="s">
        <v>492</v>
      </c>
      <c r="E2" s="154" t="s">
        <v>493</v>
      </c>
      <c r="F2" s="154" t="s">
        <v>494</v>
      </c>
      <c r="G2" s="154" t="s">
        <v>495</v>
      </c>
      <c r="H2" s="154" t="s">
        <v>496</v>
      </c>
      <c r="I2" s="154" t="s">
        <v>497</v>
      </c>
      <c r="J2" s="154" t="s">
        <v>371</v>
      </c>
      <c r="K2" s="154" t="s">
        <v>498</v>
      </c>
    </row>
    <row r="3" spans="1:11">
      <c r="A3" s="245" t="s">
        <v>22</v>
      </c>
      <c r="B3" s="98" t="s">
        <v>499</v>
      </c>
      <c r="C3" s="78" t="s">
        <v>500</v>
      </c>
      <c r="D3" s="241" t="b">
        <v>1</v>
      </c>
      <c r="E3" s="242" t="b">
        <v>0</v>
      </c>
      <c r="F3" s="242" t="b">
        <v>0</v>
      </c>
      <c r="G3" s="242" t="b">
        <v>0</v>
      </c>
      <c r="H3" s="242" t="b">
        <v>0</v>
      </c>
      <c r="I3" s="242" t="b">
        <v>0</v>
      </c>
      <c r="J3" s="10"/>
      <c r="K3" s="10" t="s">
        <v>501</v>
      </c>
    </row>
    <row r="4" spans="1:11">
      <c r="A4" s="245" t="s">
        <v>121</v>
      </c>
      <c r="B4" s="98" t="s">
        <v>502</v>
      </c>
      <c r="C4" s="100" t="s">
        <v>500</v>
      </c>
      <c r="D4" s="241" t="b">
        <v>1</v>
      </c>
      <c r="E4" s="242" t="b">
        <v>0</v>
      </c>
      <c r="F4" s="242" t="b">
        <v>0</v>
      </c>
      <c r="G4" s="242" t="b">
        <v>0</v>
      </c>
      <c r="H4" s="242" t="b">
        <v>0</v>
      </c>
      <c r="I4" s="242" t="b">
        <v>0</v>
      </c>
      <c r="J4" s="10"/>
      <c r="K4" s="10" t="s">
        <v>503</v>
      </c>
    </row>
    <row r="5" spans="1:11">
      <c r="A5" s="245" t="s">
        <v>128</v>
      </c>
      <c r="B5" s="98" t="s">
        <v>504</v>
      </c>
      <c r="C5" s="243" t="s">
        <v>505</v>
      </c>
      <c r="D5" s="241" t="b">
        <v>1</v>
      </c>
      <c r="E5" s="242" t="b">
        <v>1</v>
      </c>
      <c r="F5" s="242" t="b">
        <v>0</v>
      </c>
      <c r="G5" s="242" t="b">
        <v>0</v>
      </c>
      <c r="H5" s="242" t="b">
        <v>1</v>
      </c>
      <c r="I5" s="242" t="b">
        <v>0</v>
      </c>
      <c r="J5" s="10"/>
      <c r="K5" s="10" t="s">
        <v>506</v>
      </c>
    </row>
    <row r="6" spans="1:11">
      <c r="A6" s="246" t="s">
        <v>130</v>
      </c>
      <c r="B6" s="98" t="s">
        <v>507</v>
      </c>
      <c r="C6" s="100" t="s">
        <v>508</v>
      </c>
      <c r="D6" s="241" t="b">
        <v>1</v>
      </c>
      <c r="E6" s="242" t="b">
        <v>0</v>
      </c>
      <c r="F6" s="242" t="b">
        <v>0</v>
      </c>
      <c r="G6" s="242" t="b">
        <v>0</v>
      </c>
      <c r="H6" s="242" t="b">
        <v>0</v>
      </c>
      <c r="I6" s="242" t="b">
        <v>1</v>
      </c>
      <c r="J6" s="10"/>
      <c r="K6" s="10" t="s">
        <v>509</v>
      </c>
    </row>
    <row r="7" spans="1:11">
      <c r="A7" s="246" t="s">
        <v>184</v>
      </c>
      <c r="B7" s="98" t="s">
        <v>510</v>
      </c>
      <c r="C7" s="100" t="s">
        <v>511</v>
      </c>
      <c r="D7" s="241" t="b">
        <v>1</v>
      </c>
      <c r="E7" s="242" t="b">
        <v>0</v>
      </c>
      <c r="F7" s="242" t="b">
        <v>1</v>
      </c>
      <c r="G7" s="242" t="b">
        <v>0</v>
      </c>
      <c r="H7" s="242" t="b">
        <v>1</v>
      </c>
      <c r="I7" s="242" t="b">
        <v>1</v>
      </c>
      <c r="J7" s="10"/>
      <c r="K7" s="10" t="s">
        <v>512</v>
      </c>
    </row>
    <row r="8" spans="1:11">
      <c r="A8" s="245" t="s">
        <v>190</v>
      </c>
      <c r="B8" s="98" t="s">
        <v>513</v>
      </c>
      <c r="C8" s="100" t="s">
        <v>514</v>
      </c>
      <c r="D8" s="241" t="b">
        <v>1</v>
      </c>
      <c r="E8" s="242" t="b">
        <v>1</v>
      </c>
      <c r="F8" s="242" t="b">
        <v>0</v>
      </c>
      <c r="G8" s="242" t="b">
        <v>0</v>
      </c>
      <c r="H8" s="242" t="b">
        <v>1</v>
      </c>
      <c r="I8" s="242" t="b">
        <v>0</v>
      </c>
      <c r="J8" s="10"/>
      <c r="K8" s="10" t="s">
        <v>515</v>
      </c>
    </row>
    <row r="9" spans="1:11">
      <c r="A9" s="246" t="s">
        <v>265</v>
      </c>
      <c r="B9" s="98" t="s">
        <v>516</v>
      </c>
      <c r="C9" s="100" t="s">
        <v>264</v>
      </c>
      <c r="D9" s="241" t="b">
        <v>1</v>
      </c>
      <c r="E9" s="242" t="b">
        <v>0</v>
      </c>
      <c r="F9" s="242" t="b">
        <v>0</v>
      </c>
      <c r="G9" s="242" t="b">
        <v>0</v>
      </c>
      <c r="H9" s="242" t="b">
        <v>0</v>
      </c>
      <c r="I9" s="242" t="b">
        <v>0</v>
      </c>
      <c r="J9" s="10"/>
      <c r="K9" s="10" t="s">
        <v>517</v>
      </c>
    </row>
    <row r="10" spans="1:11">
      <c r="A10" s="246" t="s">
        <v>335</v>
      </c>
      <c r="B10" s="98" t="s">
        <v>516</v>
      </c>
      <c r="C10" s="198" t="s">
        <v>67</v>
      </c>
      <c r="D10" s="241" t="b">
        <v>1</v>
      </c>
      <c r="E10" s="242" t="b">
        <v>0</v>
      </c>
      <c r="F10" s="242" t="b">
        <v>1</v>
      </c>
      <c r="G10" s="242" t="b">
        <v>1</v>
      </c>
      <c r="H10" s="242" t="b">
        <v>0</v>
      </c>
      <c r="I10" s="242" t="b">
        <v>0</v>
      </c>
      <c r="J10" s="10"/>
      <c r="K10" s="10" t="s">
        <v>518</v>
      </c>
    </row>
    <row r="11" spans="1:11">
      <c r="A11" s="253" t="s">
        <v>337</v>
      </c>
      <c r="B11" s="249" t="s">
        <v>519</v>
      </c>
      <c r="C11" s="254" t="s">
        <v>520</v>
      </c>
      <c r="D11" s="251" t="b">
        <v>1</v>
      </c>
      <c r="E11" s="252" t="b">
        <v>0</v>
      </c>
      <c r="F11" s="252" t="b">
        <v>0</v>
      </c>
      <c r="G11" s="252" t="b">
        <v>0</v>
      </c>
      <c r="H11" s="252" t="b">
        <v>1</v>
      </c>
      <c r="I11" s="252" t="b">
        <v>0</v>
      </c>
      <c r="J11" s="94"/>
      <c r="K11" s="94"/>
    </row>
    <row r="12" spans="1:11">
      <c r="A12" s="248" t="s">
        <v>521</v>
      </c>
      <c r="B12" s="249" t="s">
        <v>522</v>
      </c>
      <c r="C12" s="254" t="s">
        <v>523</v>
      </c>
      <c r="D12" s="251" t="b">
        <v>1</v>
      </c>
      <c r="E12" s="252" t="b">
        <v>0</v>
      </c>
      <c r="F12" s="252" t="b">
        <v>0</v>
      </c>
      <c r="G12" s="252" t="b">
        <v>0</v>
      </c>
      <c r="H12" s="252" t="b">
        <v>1</v>
      </c>
      <c r="I12" s="252" t="b">
        <v>0</v>
      </c>
      <c r="J12" s="94"/>
      <c r="K12" s="94"/>
    </row>
    <row r="13" spans="1:11">
      <c r="A13" s="245" t="s">
        <v>524</v>
      </c>
      <c r="B13" s="98" t="s">
        <v>525</v>
      </c>
      <c r="C13" s="198" t="s">
        <v>526</v>
      </c>
      <c r="D13" s="241" t="b">
        <v>1</v>
      </c>
      <c r="E13" s="242" t="b">
        <v>1</v>
      </c>
      <c r="F13" s="242" t="b">
        <v>1</v>
      </c>
      <c r="G13" s="242" t="b">
        <v>1</v>
      </c>
      <c r="H13" s="242" t="b">
        <v>1</v>
      </c>
      <c r="I13" s="242" t="b">
        <v>0</v>
      </c>
      <c r="J13" s="10"/>
      <c r="K13" s="10" t="s">
        <v>527</v>
      </c>
    </row>
    <row r="14" spans="1:11">
      <c r="A14" s="246" t="s">
        <v>528</v>
      </c>
      <c r="B14" s="98" t="s">
        <v>504</v>
      </c>
      <c r="C14" s="78" t="s">
        <v>310</v>
      </c>
      <c r="D14" s="241" t="b">
        <v>1</v>
      </c>
      <c r="E14" s="242" t="b">
        <v>0</v>
      </c>
      <c r="F14" s="242" t="b">
        <v>1</v>
      </c>
      <c r="G14" s="242" t="b">
        <v>0</v>
      </c>
      <c r="H14" s="242" t="b">
        <v>0</v>
      </c>
      <c r="I14" s="242" t="b">
        <v>0</v>
      </c>
      <c r="J14" s="10"/>
      <c r="K14" s="10" t="s">
        <v>529</v>
      </c>
    </row>
    <row r="15" spans="1:11">
      <c r="A15" s="245" t="s">
        <v>530</v>
      </c>
      <c r="B15" s="98" t="s">
        <v>531</v>
      </c>
      <c r="C15" s="100" t="s">
        <v>532</v>
      </c>
      <c r="D15" s="241" t="b">
        <v>1</v>
      </c>
      <c r="E15" s="242" t="b">
        <v>1</v>
      </c>
      <c r="F15" s="242" t="b">
        <v>1</v>
      </c>
      <c r="G15" s="242" t="b">
        <v>0</v>
      </c>
      <c r="H15" s="242" t="b">
        <v>0</v>
      </c>
      <c r="I15" s="242" t="b">
        <v>1</v>
      </c>
      <c r="J15" s="10"/>
      <c r="K15" s="10" t="s">
        <v>533</v>
      </c>
    </row>
    <row r="16" spans="1:11">
      <c r="A16" s="246" t="s">
        <v>534</v>
      </c>
      <c r="B16" s="98" t="s">
        <v>535</v>
      </c>
      <c r="C16" s="100" t="s">
        <v>500</v>
      </c>
      <c r="D16" s="241" t="b">
        <v>1</v>
      </c>
      <c r="E16" s="242" t="b">
        <v>0</v>
      </c>
      <c r="F16" s="242" t="b">
        <v>0</v>
      </c>
      <c r="G16" s="242" t="b">
        <v>0</v>
      </c>
      <c r="H16" s="242" t="b">
        <v>0</v>
      </c>
      <c r="I16" s="242" t="b">
        <v>1</v>
      </c>
      <c r="J16" s="10"/>
      <c r="K16" s="10" t="s">
        <v>536</v>
      </c>
    </row>
    <row r="17" spans="1:11">
      <c r="A17" s="245" t="s">
        <v>413</v>
      </c>
      <c r="B17" s="98" t="s">
        <v>510</v>
      </c>
      <c r="C17" s="100" t="s">
        <v>537</v>
      </c>
      <c r="D17" s="241" t="b">
        <v>1</v>
      </c>
      <c r="E17" s="242" t="b">
        <v>0</v>
      </c>
      <c r="F17" s="242" t="b">
        <v>0</v>
      </c>
      <c r="G17" s="242" t="b">
        <v>1</v>
      </c>
      <c r="H17" s="242" t="b">
        <v>0</v>
      </c>
      <c r="I17" s="242" t="b">
        <v>0</v>
      </c>
      <c r="J17" s="10"/>
      <c r="K17" s="10" t="s">
        <v>538</v>
      </c>
    </row>
    <row r="18" spans="1:11">
      <c r="A18" s="245" t="s">
        <v>539</v>
      </c>
      <c r="B18" s="98" t="s">
        <v>540</v>
      </c>
      <c r="C18" s="101" t="s">
        <v>249</v>
      </c>
      <c r="D18" s="241" t="b">
        <v>1</v>
      </c>
      <c r="E18" s="242" t="b">
        <v>1</v>
      </c>
      <c r="F18" s="242" t="b">
        <v>1</v>
      </c>
      <c r="G18" s="242" t="b">
        <v>0</v>
      </c>
      <c r="H18" s="242" t="b">
        <v>0</v>
      </c>
      <c r="I18" s="242" t="b">
        <v>1</v>
      </c>
      <c r="J18" s="10"/>
      <c r="K18" s="10" t="s">
        <v>541</v>
      </c>
    </row>
    <row r="19" spans="1:11">
      <c r="A19" s="245" t="s">
        <v>542</v>
      </c>
      <c r="B19" s="98" t="s">
        <v>543</v>
      </c>
      <c r="C19" s="100" t="s">
        <v>544</v>
      </c>
      <c r="D19" s="241" t="b">
        <v>1</v>
      </c>
      <c r="E19" s="242" t="b">
        <v>1</v>
      </c>
      <c r="F19" s="242" t="b">
        <v>1</v>
      </c>
      <c r="G19" s="242" t="b">
        <v>0</v>
      </c>
      <c r="H19" s="242" t="b">
        <v>0</v>
      </c>
      <c r="I19" s="242" t="b">
        <v>0</v>
      </c>
      <c r="J19" s="10"/>
      <c r="K19" s="10" t="s">
        <v>545</v>
      </c>
    </row>
    <row r="20" spans="1:11">
      <c r="A20" s="246" t="s">
        <v>546</v>
      </c>
      <c r="B20" s="98" t="s">
        <v>513</v>
      </c>
      <c r="C20" s="100" t="s">
        <v>547</v>
      </c>
      <c r="D20" s="241" t="b">
        <v>1</v>
      </c>
      <c r="E20" s="242" t="b">
        <v>0</v>
      </c>
      <c r="F20" s="242" t="b">
        <v>0</v>
      </c>
      <c r="G20" s="242" t="b">
        <v>0</v>
      </c>
      <c r="H20" s="242" t="b">
        <v>0</v>
      </c>
      <c r="I20" s="242" t="b">
        <v>0</v>
      </c>
      <c r="J20" s="10"/>
      <c r="K20" s="10" t="s">
        <v>548</v>
      </c>
    </row>
    <row r="21" spans="1:11">
      <c r="A21" s="246" t="s">
        <v>423</v>
      </c>
      <c r="B21" s="98" t="s">
        <v>513</v>
      </c>
      <c r="C21" s="78" t="s">
        <v>549</v>
      </c>
      <c r="D21" s="241" t="b">
        <v>1</v>
      </c>
      <c r="E21" s="242" t="b">
        <v>0</v>
      </c>
      <c r="F21" s="242" t="b">
        <v>0</v>
      </c>
      <c r="G21" s="242" t="b">
        <v>0</v>
      </c>
      <c r="H21" s="242" t="b">
        <v>0</v>
      </c>
      <c r="I21" s="242" t="b">
        <v>1</v>
      </c>
      <c r="J21" s="10"/>
      <c r="K21" s="10" t="s">
        <v>550</v>
      </c>
    </row>
    <row r="22" spans="1:11">
      <c r="A22" s="246" t="s">
        <v>551</v>
      </c>
      <c r="B22" s="98" t="s">
        <v>507</v>
      </c>
      <c r="C22" s="100" t="s">
        <v>552</v>
      </c>
      <c r="D22" s="241" t="b">
        <v>1</v>
      </c>
      <c r="E22" s="242" t="b">
        <v>1</v>
      </c>
      <c r="F22" s="242" t="b">
        <v>1</v>
      </c>
      <c r="G22" s="242" t="b">
        <v>0</v>
      </c>
      <c r="H22" s="242" t="b">
        <v>0</v>
      </c>
      <c r="I22" s="242" t="b">
        <v>0</v>
      </c>
      <c r="J22" s="10"/>
      <c r="K22" s="10" t="s">
        <v>553</v>
      </c>
    </row>
    <row r="23" spans="1:11">
      <c r="A23" s="246" t="s">
        <v>432</v>
      </c>
      <c r="B23" s="98" t="s">
        <v>510</v>
      </c>
      <c r="C23" s="100" t="s">
        <v>319</v>
      </c>
      <c r="D23" s="241" t="b">
        <v>1</v>
      </c>
      <c r="E23" s="242" t="b">
        <v>0</v>
      </c>
      <c r="F23" s="242" t="b">
        <v>1</v>
      </c>
      <c r="G23" s="242" t="b">
        <v>0</v>
      </c>
      <c r="H23" s="242" t="b">
        <v>0</v>
      </c>
      <c r="I23" s="242" t="b">
        <v>0</v>
      </c>
      <c r="J23" s="10"/>
      <c r="K23" s="10" t="s">
        <v>554</v>
      </c>
    </row>
    <row r="24" spans="1:11">
      <c r="A24" s="248" t="s">
        <v>555</v>
      </c>
      <c r="B24" s="249" t="s">
        <v>513</v>
      </c>
      <c r="C24" s="250" t="s">
        <v>480</v>
      </c>
      <c r="D24" s="251" t="b">
        <v>0</v>
      </c>
      <c r="E24" s="252" t="b">
        <v>0</v>
      </c>
      <c r="F24" s="252" t="b">
        <v>0</v>
      </c>
      <c r="G24" s="252" t="b">
        <v>0</v>
      </c>
      <c r="H24" s="252" t="b">
        <v>0</v>
      </c>
      <c r="I24" s="252" t="b">
        <v>0</v>
      </c>
      <c r="J24" s="94"/>
      <c r="K24" s="94"/>
    </row>
    <row r="25" spans="1:11">
      <c r="A25" s="245" t="s">
        <v>431</v>
      </c>
      <c r="B25" s="98" t="s">
        <v>510</v>
      </c>
      <c r="C25" s="100" t="s">
        <v>312</v>
      </c>
      <c r="D25" s="241" t="b">
        <v>1</v>
      </c>
      <c r="E25" s="242" t="b">
        <v>0</v>
      </c>
      <c r="F25" s="242" t="b">
        <v>1</v>
      </c>
      <c r="G25" s="242" t="b">
        <v>0</v>
      </c>
      <c r="H25" s="242" t="b">
        <v>1</v>
      </c>
      <c r="I25" s="242" t="b">
        <v>0</v>
      </c>
      <c r="J25" s="10"/>
      <c r="K25" s="10" t="s">
        <v>556</v>
      </c>
    </row>
    <row r="26" spans="1:11">
      <c r="A26" s="245" t="s">
        <v>557</v>
      </c>
      <c r="B26" s="98" t="s">
        <v>510</v>
      </c>
      <c r="C26" s="101" t="s">
        <v>274</v>
      </c>
      <c r="D26" s="241" t="b">
        <v>1</v>
      </c>
      <c r="E26" s="242" t="b">
        <v>1</v>
      </c>
      <c r="F26" s="242" t="b">
        <v>1</v>
      </c>
      <c r="G26" s="242" t="b">
        <v>0</v>
      </c>
      <c r="H26" s="242" t="b">
        <v>1</v>
      </c>
      <c r="I26" s="242" t="b">
        <v>1</v>
      </c>
      <c r="J26" s="10"/>
      <c r="K26" s="10" t="s">
        <v>558</v>
      </c>
    </row>
    <row r="27" spans="1:11">
      <c r="A27" s="245" t="s">
        <v>559</v>
      </c>
      <c r="B27" s="98" t="s">
        <v>510</v>
      </c>
      <c r="C27" s="100" t="s">
        <v>560</v>
      </c>
      <c r="D27" s="241" t="b">
        <v>1</v>
      </c>
      <c r="E27" s="242" t="b">
        <v>0</v>
      </c>
      <c r="F27" s="242" t="b">
        <v>0</v>
      </c>
      <c r="G27" s="242" t="b">
        <v>0</v>
      </c>
      <c r="H27" s="242" t="b">
        <v>1</v>
      </c>
      <c r="I27" s="242" t="b">
        <v>0</v>
      </c>
      <c r="J27" s="10"/>
      <c r="K27" s="10" t="s">
        <v>561</v>
      </c>
    </row>
    <row r="28" spans="1:11">
      <c r="A28" s="246" t="s">
        <v>562</v>
      </c>
      <c r="B28" s="98" t="s">
        <v>510</v>
      </c>
      <c r="C28" s="100" t="s">
        <v>276</v>
      </c>
      <c r="D28" s="241" t="b">
        <v>1</v>
      </c>
      <c r="E28" s="242" t="b">
        <v>1</v>
      </c>
      <c r="F28" s="242" t="b">
        <v>1</v>
      </c>
      <c r="G28" s="242" t="b">
        <v>0</v>
      </c>
      <c r="H28" s="242" t="b">
        <v>1</v>
      </c>
      <c r="I28" s="242" t="b">
        <v>0</v>
      </c>
      <c r="J28" s="10"/>
      <c r="K28" s="10" t="s">
        <v>563</v>
      </c>
    </row>
    <row r="29" spans="1:11">
      <c r="A29" s="246" t="s">
        <v>564</v>
      </c>
      <c r="B29" s="98" t="s">
        <v>513</v>
      </c>
      <c r="C29" s="100" t="s">
        <v>565</v>
      </c>
      <c r="D29" s="241" t="b">
        <v>1</v>
      </c>
      <c r="E29" s="242" t="b">
        <v>1</v>
      </c>
      <c r="F29" s="242" t="b">
        <v>1</v>
      </c>
      <c r="G29" s="242" t="b">
        <v>1</v>
      </c>
      <c r="H29" s="242" t="b">
        <v>1</v>
      </c>
      <c r="I29" s="242" t="b">
        <v>0</v>
      </c>
      <c r="J29" s="10"/>
      <c r="K29" s="10" t="s">
        <v>566</v>
      </c>
    </row>
    <row r="30" spans="1:11">
      <c r="A30" s="246" t="s">
        <v>567</v>
      </c>
      <c r="B30" s="98" t="s">
        <v>513</v>
      </c>
      <c r="C30" s="100" t="s">
        <v>568</v>
      </c>
      <c r="D30" s="241" t="b">
        <v>1</v>
      </c>
      <c r="E30" s="242" t="b">
        <v>0</v>
      </c>
      <c r="F30" s="242" t="b">
        <v>1</v>
      </c>
      <c r="G30" s="242" t="b">
        <v>0</v>
      </c>
      <c r="H30" s="242" t="b">
        <v>0</v>
      </c>
      <c r="I30" s="242" t="b">
        <v>0</v>
      </c>
      <c r="J30" s="10"/>
      <c r="K30" s="10" t="s">
        <v>569</v>
      </c>
    </row>
    <row r="31" spans="1:11">
      <c r="A31" s="246" t="s">
        <v>410</v>
      </c>
      <c r="B31" s="98" t="s">
        <v>513</v>
      </c>
      <c r="C31" s="100" t="s">
        <v>306</v>
      </c>
      <c r="D31" s="241" t="b">
        <v>1</v>
      </c>
      <c r="E31" s="242" t="b">
        <v>1</v>
      </c>
      <c r="F31" s="242" t="b">
        <v>1</v>
      </c>
      <c r="G31" s="242" t="b">
        <v>1</v>
      </c>
      <c r="H31" s="242" t="b">
        <v>1</v>
      </c>
      <c r="I31" s="242" t="b">
        <v>0</v>
      </c>
      <c r="J31" s="10"/>
      <c r="K31" s="10" t="s">
        <v>570</v>
      </c>
    </row>
    <row r="32" spans="1:11">
      <c r="A32" s="246" t="s">
        <v>377</v>
      </c>
      <c r="B32" s="98" t="s">
        <v>513</v>
      </c>
      <c r="C32" s="100" t="s">
        <v>571</v>
      </c>
      <c r="D32" s="241" t="b">
        <v>1</v>
      </c>
      <c r="E32" s="242" t="b">
        <v>1</v>
      </c>
      <c r="F32" s="242" t="b">
        <v>0</v>
      </c>
      <c r="G32" s="242" t="b">
        <v>1</v>
      </c>
      <c r="H32" s="242" t="b">
        <v>1</v>
      </c>
      <c r="I32" s="242" t="b">
        <v>0</v>
      </c>
      <c r="J32" s="10"/>
      <c r="K32" s="10" t="s">
        <v>572</v>
      </c>
    </row>
    <row r="33" spans="1:11">
      <c r="A33" s="246" t="s">
        <v>420</v>
      </c>
      <c r="B33" s="98" t="s">
        <v>513</v>
      </c>
      <c r="C33" s="100" t="s">
        <v>280</v>
      </c>
      <c r="D33" s="241" t="b">
        <v>1</v>
      </c>
      <c r="E33" s="242" t="b">
        <v>1</v>
      </c>
      <c r="F33" s="242" t="b">
        <v>1</v>
      </c>
      <c r="G33" s="242" t="b">
        <v>0</v>
      </c>
      <c r="H33" s="242" t="b">
        <v>1</v>
      </c>
      <c r="I33" s="242" t="b">
        <v>0</v>
      </c>
      <c r="J33" s="10"/>
      <c r="K33" s="10" t="s">
        <v>573</v>
      </c>
    </row>
    <row r="34" spans="1:11">
      <c r="A34" s="246" t="s">
        <v>574</v>
      </c>
      <c r="B34" s="98" t="s">
        <v>513</v>
      </c>
      <c r="C34" s="101" t="s">
        <v>284</v>
      </c>
      <c r="D34" s="241" t="b">
        <v>1</v>
      </c>
      <c r="E34" s="242" t="b">
        <v>1</v>
      </c>
      <c r="F34" s="242" t="b">
        <v>1</v>
      </c>
      <c r="G34" s="242" t="b">
        <v>1</v>
      </c>
      <c r="H34" s="242" t="b">
        <v>1</v>
      </c>
      <c r="I34" s="242" t="b">
        <v>0</v>
      </c>
      <c r="J34" s="10"/>
      <c r="K34" s="10" t="s">
        <v>575</v>
      </c>
    </row>
    <row r="35" spans="1:11">
      <c r="A35" s="246" t="s">
        <v>576</v>
      </c>
      <c r="B35" s="98" t="s">
        <v>513</v>
      </c>
      <c r="C35" s="100" t="s">
        <v>577</v>
      </c>
      <c r="D35" s="241" t="b">
        <v>1</v>
      </c>
      <c r="E35" s="242" t="b">
        <v>1</v>
      </c>
      <c r="F35" s="242" t="b">
        <v>1</v>
      </c>
      <c r="G35" s="242" t="b">
        <v>0</v>
      </c>
      <c r="H35" s="242" t="b">
        <v>0</v>
      </c>
      <c r="I35" s="242" t="b">
        <v>0</v>
      </c>
      <c r="J35" s="10"/>
      <c r="K35" s="10" t="s">
        <v>578</v>
      </c>
    </row>
    <row r="36" spans="1:11">
      <c r="A36" s="246" t="s">
        <v>411</v>
      </c>
      <c r="B36" s="98" t="s">
        <v>513</v>
      </c>
      <c r="C36" s="100" t="s">
        <v>579</v>
      </c>
      <c r="D36" s="241" t="b">
        <v>1</v>
      </c>
      <c r="E36" s="242" t="b">
        <v>1</v>
      </c>
      <c r="F36" s="242" t="b">
        <v>0</v>
      </c>
      <c r="G36" s="242" t="b">
        <v>0</v>
      </c>
      <c r="H36" s="242" t="b">
        <v>0</v>
      </c>
      <c r="I36" s="242" t="b">
        <v>0</v>
      </c>
      <c r="J36" s="10"/>
      <c r="K36" s="10" t="s">
        <v>580</v>
      </c>
    </row>
    <row r="37" spans="1:11">
      <c r="A37" s="246" t="s">
        <v>411</v>
      </c>
      <c r="B37" s="98" t="s">
        <v>513</v>
      </c>
      <c r="C37" s="100" t="s">
        <v>581</v>
      </c>
      <c r="D37" s="241" t="b">
        <v>0</v>
      </c>
      <c r="E37" s="242" t="b">
        <v>1</v>
      </c>
      <c r="F37" s="242" t="b">
        <v>1</v>
      </c>
      <c r="G37" s="242" t="b">
        <v>0</v>
      </c>
      <c r="H37" s="242" t="b">
        <v>1</v>
      </c>
      <c r="I37" s="242" t="b">
        <v>0</v>
      </c>
      <c r="J37" s="10"/>
      <c r="K37" s="10" t="s">
        <v>582</v>
      </c>
    </row>
    <row r="38" spans="1:11">
      <c r="A38" s="246" t="s">
        <v>373</v>
      </c>
      <c r="B38" s="98" t="s">
        <v>513</v>
      </c>
      <c r="C38" s="101" t="s">
        <v>583</v>
      </c>
      <c r="D38" s="241" t="b">
        <v>1</v>
      </c>
      <c r="E38" s="242" t="b">
        <v>1</v>
      </c>
      <c r="F38" s="242" t="b">
        <v>1</v>
      </c>
      <c r="G38" s="242" t="b">
        <v>1</v>
      </c>
      <c r="H38" s="242" t="b">
        <v>1</v>
      </c>
      <c r="I38" s="242" t="b">
        <v>0</v>
      </c>
      <c r="J38" s="10"/>
      <c r="K38" s="10" t="s">
        <v>584</v>
      </c>
    </row>
    <row r="39" spans="1:11">
      <c r="A39" s="246" t="s">
        <v>585</v>
      </c>
      <c r="B39" s="98" t="s">
        <v>513</v>
      </c>
      <c r="C39" s="100" t="s">
        <v>243</v>
      </c>
      <c r="D39" s="241" t="b">
        <v>1</v>
      </c>
      <c r="E39" s="242" t="b">
        <v>1</v>
      </c>
      <c r="F39" s="242" t="b">
        <v>1</v>
      </c>
      <c r="G39" s="242" t="b">
        <v>0</v>
      </c>
      <c r="H39" s="242" t="b">
        <v>0</v>
      </c>
      <c r="I39" s="242" t="b">
        <v>0</v>
      </c>
      <c r="J39" s="10"/>
      <c r="K39" s="10" t="s">
        <v>586</v>
      </c>
    </row>
    <row r="40" spans="1:11">
      <c r="A40" s="246" t="s">
        <v>429</v>
      </c>
      <c r="B40" s="98" t="s">
        <v>513</v>
      </c>
      <c r="C40" s="100" t="s">
        <v>587</v>
      </c>
      <c r="D40" s="241" t="b">
        <v>1</v>
      </c>
      <c r="E40" s="242" t="b">
        <v>1</v>
      </c>
      <c r="F40" s="242" t="b">
        <v>1</v>
      </c>
      <c r="G40" s="242" t="b">
        <v>0</v>
      </c>
      <c r="H40" s="242" t="b">
        <v>1</v>
      </c>
      <c r="I40" s="242" t="b">
        <v>0</v>
      </c>
      <c r="J40" s="10"/>
      <c r="K40" s="10" t="s">
        <v>588</v>
      </c>
    </row>
    <row r="41" spans="1:11">
      <c r="A41" s="246" t="s">
        <v>424</v>
      </c>
      <c r="B41" s="98" t="s">
        <v>513</v>
      </c>
      <c r="C41" s="100" t="s">
        <v>321</v>
      </c>
      <c r="D41" s="241" t="b">
        <v>1</v>
      </c>
      <c r="E41" s="242" t="b">
        <v>1</v>
      </c>
      <c r="F41" s="242" t="b">
        <v>1</v>
      </c>
      <c r="G41" s="242" t="b">
        <v>0</v>
      </c>
      <c r="H41" s="242" t="b">
        <v>1</v>
      </c>
      <c r="I41" s="242" t="b">
        <v>0</v>
      </c>
      <c r="J41" s="10"/>
      <c r="K41" s="10" t="s">
        <v>589</v>
      </c>
    </row>
    <row r="42" spans="1:11">
      <c r="A42" s="246" t="s">
        <v>422</v>
      </c>
      <c r="B42" s="98" t="s">
        <v>513</v>
      </c>
      <c r="C42" s="100" t="s">
        <v>590</v>
      </c>
      <c r="D42" s="241" t="b">
        <v>1</v>
      </c>
      <c r="E42" s="242" t="b">
        <v>1</v>
      </c>
      <c r="F42" s="242" t="b">
        <v>0</v>
      </c>
      <c r="G42" s="242" t="b">
        <v>0</v>
      </c>
      <c r="H42" s="242" t="b">
        <v>0</v>
      </c>
      <c r="I42" s="242" t="b">
        <v>0</v>
      </c>
      <c r="J42" s="10"/>
      <c r="K42" s="10" t="s">
        <v>591</v>
      </c>
    </row>
    <row r="43" spans="1:11">
      <c r="A43" s="246" t="s">
        <v>592</v>
      </c>
      <c r="B43" s="98" t="s">
        <v>513</v>
      </c>
      <c r="C43" s="101" t="s">
        <v>593</v>
      </c>
      <c r="D43" s="241" t="b">
        <v>1</v>
      </c>
      <c r="E43" s="242" t="b">
        <v>1</v>
      </c>
      <c r="F43" s="242" t="b">
        <v>1</v>
      </c>
      <c r="G43" s="242" t="b">
        <v>0</v>
      </c>
      <c r="H43" s="242" t="b">
        <v>1</v>
      </c>
      <c r="I43" s="242" t="b">
        <v>0</v>
      </c>
      <c r="J43" s="10"/>
      <c r="K43" s="10" t="s">
        <v>594</v>
      </c>
    </row>
    <row r="44" spans="1:11">
      <c r="A44" s="246" t="s">
        <v>396</v>
      </c>
      <c r="B44" s="98" t="s">
        <v>513</v>
      </c>
      <c r="C44" s="100" t="s">
        <v>595</v>
      </c>
      <c r="D44" s="241" t="b">
        <v>1</v>
      </c>
      <c r="E44" s="242" t="b">
        <v>1</v>
      </c>
      <c r="F44" s="242" t="b">
        <v>1</v>
      </c>
      <c r="G44" s="242" t="b">
        <v>0</v>
      </c>
      <c r="H44" s="242" t="b">
        <v>0</v>
      </c>
      <c r="I44" s="242" t="b">
        <v>1</v>
      </c>
      <c r="J44" s="10"/>
      <c r="K44" s="10" t="s">
        <v>596</v>
      </c>
    </row>
    <row r="45" spans="1:11">
      <c r="A45" s="248" t="s">
        <v>427</v>
      </c>
      <c r="B45" s="249" t="s">
        <v>513</v>
      </c>
      <c r="C45" s="250" t="s">
        <v>323</v>
      </c>
      <c r="D45" s="251" t="b">
        <v>0</v>
      </c>
      <c r="E45" s="252" t="b">
        <v>0</v>
      </c>
      <c r="F45" s="252" t="b">
        <v>0</v>
      </c>
      <c r="G45" s="252" t="b">
        <v>0</v>
      </c>
      <c r="H45" s="252" t="b">
        <v>0</v>
      </c>
      <c r="I45" s="252" t="b">
        <v>0</v>
      </c>
      <c r="J45" s="94"/>
      <c r="K45" s="94"/>
    </row>
    <row r="46" spans="1:11">
      <c r="A46" s="246" t="s">
        <v>597</v>
      </c>
      <c r="B46" s="98" t="s">
        <v>513</v>
      </c>
      <c r="C46" s="243" t="s">
        <v>325</v>
      </c>
      <c r="D46" s="241" t="b">
        <v>1</v>
      </c>
      <c r="E46" s="242" t="b">
        <v>1</v>
      </c>
      <c r="F46" s="242" t="b">
        <v>1</v>
      </c>
      <c r="G46" s="242" t="b">
        <v>0</v>
      </c>
      <c r="H46" s="242" t="b">
        <v>1</v>
      </c>
      <c r="I46" s="242" t="b">
        <v>0</v>
      </c>
      <c r="J46" s="10"/>
      <c r="K46" s="10" t="s">
        <v>598</v>
      </c>
    </row>
    <row r="47" spans="1:11">
      <c r="A47" s="246" t="s">
        <v>599</v>
      </c>
      <c r="B47" s="98" t="s">
        <v>513</v>
      </c>
      <c r="C47" s="78" t="s">
        <v>600</v>
      </c>
      <c r="D47" s="241" t="b">
        <v>0</v>
      </c>
      <c r="E47" s="242" t="b">
        <v>1</v>
      </c>
      <c r="F47" s="242" t="b">
        <v>1</v>
      </c>
      <c r="G47" s="242" t="b">
        <v>0</v>
      </c>
      <c r="H47" s="242" t="b">
        <v>1</v>
      </c>
      <c r="I47" s="242" t="b">
        <v>0</v>
      </c>
      <c r="J47" s="10"/>
      <c r="K47" s="10" t="s">
        <v>601</v>
      </c>
    </row>
    <row r="48" spans="1:11">
      <c r="A48" s="246" t="s">
        <v>418</v>
      </c>
      <c r="B48" s="98" t="s">
        <v>504</v>
      </c>
      <c r="C48" s="243" t="s">
        <v>304</v>
      </c>
      <c r="D48" s="241" t="b">
        <v>0</v>
      </c>
      <c r="E48" s="242" t="b">
        <v>0</v>
      </c>
      <c r="F48" s="242" t="b">
        <v>1</v>
      </c>
      <c r="G48" s="242" t="b">
        <v>1</v>
      </c>
      <c r="H48" s="242" t="b">
        <v>0</v>
      </c>
      <c r="I48" s="242" t="b">
        <v>0</v>
      </c>
      <c r="J48" s="10"/>
      <c r="K48" s="10" t="s">
        <v>602</v>
      </c>
    </row>
    <row r="49" spans="1:11">
      <c r="A49" s="246" t="s">
        <v>603</v>
      </c>
      <c r="B49" s="98" t="s">
        <v>531</v>
      </c>
      <c r="C49" s="243" t="s">
        <v>604</v>
      </c>
      <c r="D49" s="241" t="b">
        <v>1</v>
      </c>
      <c r="E49" s="242" t="b">
        <v>1</v>
      </c>
      <c r="F49" s="242" t="b">
        <v>1</v>
      </c>
      <c r="G49" s="242" t="b">
        <v>1</v>
      </c>
      <c r="H49" s="242" t="b">
        <v>0</v>
      </c>
      <c r="I49" s="242" t="b">
        <v>0</v>
      </c>
      <c r="J49" s="10"/>
      <c r="K49" s="10" t="s">
        <v>605</v>
      </c>
    </row>
    <row r="50" spans="1:11">
      <c r="A50" s="246" t="s">
        <v>606</v>
      </c>
      <c r="B50" s="98" t="s">
        <v>531</v>
      </c>
      <c r="C50" s="243" t="s">
        <v>607</v>
      </c>
      <c r="D50" s="241" t="b">
        <v>1</v>
      </c>
      <c r="E50" s="242" t="b">
        <v>1</v>
      </c>
      <c r="F50" s="242" t="b">
        <v>1</v>
      </c>
      <c r="G50" s="242" t="b">
        <v>0</v>
      </c>
      <c r="H50" s="242" t="b">
        <v>1</v>
      </c>
      <c r="I50" s="242" t="b">
        <v>0</v>
      </c>
      <c r="J50" s="10"/>
      <c r="K50" s="10" t="s">
        <v>608</v>
      </c>
    </row>
    <row r="51" spans="1:11">
      <c r="A51" s="246" t="s">
        <v>609</v>
      </c>
      <c r="B51" s="98" t="s">
        <v>504</v>
      </c>
      <c r="C51" s="243" t="s">
        <v>245</v>
      </c>
      <c r="D51" s="241" t="b">
        <v>1</v>
      </c>
      <c r="E51" s="242" t="b">
        <v>0</v>
      </c>
      <c r="F51" s="242" t="b">
        <v>1</v>
      </c>
      <c r="G51" s="242" t="b">
        <v>0</v>
      </c>
      <c r="H51" s="242" t="b">
        <v>0</v>
      </c>
      <c r="I51" s="242" t="b">
        <v>0</v>
      </c>
      <c r="J51" s="10"/>
      <c r="K51" s="10" t="s">
        <v>610</v>
      </c>
    </row>
    <row r="52" spans="1:11">
      <c r="A52" s="246" t="s">
        <v>611</v>
      </c>
      <c r="B52" s="98" t="s">
        <v>504</v>
      </c>
      <c r="C52" s="100" t="s">
        <v>612</v>
      </c>
      <c r="D52" s="241" t="b">
        <v>1</v>
      </c>
      <c r="E52" s="242" t="b">
        <v>0</v>
      </c>
      <c r="F52" s="242" t="b">
        <v>0</v>
      </c>
      <c r="G52" s="242" t="b">
        <v>0</v>
      </c>
      <c r="H52" s="242" t="b">
        <v>0</v>
      </c>
      <c r="I52" s="242" t="b">
        <v>0</v>
      </c>
      <c r="J52" s="10"/>
      <c r="K52" s="10" t="s">
        <v>613</v>
      </c>
    </row>
    <row r="53" spans="1:11">
      <c r="A53" s="246" t="s">
        <v>614</v>
      </c>
      <c r="B53" s="98" t="s">
        <v>531</v>
      </c>
      <c r="C53" s="100" t="s">
        <v>615</v>
      </c>
      <c r="D53" s="241" t="b">
        <v>1</v>
      </c>
      <c r="E53" s="242" t="b">
        <v>1</v>
      </c>
      <c r="F53" s="242" t="b">
        <v>1</v>
      </c>
      <c r="G53" s="242" t="b">
        <v>0</v>
      </c>
      <c r="H53" s="242" t="b">
        <v>1</v>
      </c>
      <c r="I53" s="242" t="b">
        <v>0</v>
      </c>
      <c r="J53" s="10"/>
      <c r="K53" s="10" t="s">
        <v>616</v>
      </c>
    </row>
    <row r="54" spans="1:11">
      <c r="A54" s="246" t="s">
        <v>388</v>
      </c>
      <c r="B54" s="98" t="s">
        <v>504</v>
      </c>
      <c r="C54" s="100" t="s">
        <v>617</v>
      </c>
      <c r="D54" s="241" t="b">
        <v>1</v>
      </c>
      <c r="E54" s="242" t="b">
        <v>1</v>
      </c>
      <c r="F54" s="242" t="b">
        <v>1</v>
      </c>
      <c r="G54" s="242" t="b">
        <v>0</v>
      </c>
      <c r="H54" s="242" t="b">
        <v>0</v>
      </c>
      <c r="I54" s="242" t="b">
        <v>0</v>
      </c>
      <c r="J54" s="10"/>
      <c r="K54" s="10" t="s">
        <v>618</v>
      </c>
    </row>
    <row r="55" spans="1:11">
      <c r="A55" s="246" t="s">
        <v>619</v>
      </c>
      <c r="B55" s="98" t="s">
        <v>499</v>
      </c>
      <c r="C55" s="100" t="s">
        <v>500</v>
      </c>
      <c r="D55" s="241" t="b">
        <v>1</v>
      </c>
      <c r="E55" s="242" t="b">
        <v>0</v>
      </c>
      <c r="F55" s="242" t="b">
        <v>0</v>
      </c>
      <c r="G55" s="242" t="b">
        <v>0</v>
      </c>
      <c r="H55" s="242" t="b">
        <v>0</v>
      </c>
      <c r="I55" s="242" t="b">
        <v>0</v>
      </c>
      <c r="J55" s="10"/>
      <c r="K55" s="10" t="s">
        <v>620</v>
      </c>
    </row>
    <row r="56" spans="1:11">
      <c r="A56" s="246" t="s">
        <v>621</v>
      </c>
      <c r="B56" s="98" t="s">
        <v>531</v>
      </c>
      <c r="C56" s="243" t="s">
        <v>266</v>
      </c>
      <c r="D56" s="241" t="b">
        <v>1</v>
      </c>
      <c r="E56" s="242" t="b">
        <v>0</v>
      </c>
      <c r="F56" s="242" t="b">
        <v>1</v>
      </c>
      <c r="G56" s="242" t="b">
        <v>0</v>
      </c>
      <c r="H56" s="242" t="b">
        <v>0</v>
      </c>
      <c r="I56" s="242" t="b">
        <v>0</v>
      </c>
      <c r="J56" s="10"/>
      <c r="K56" s="10" t="s">
        <v>622</v>
      </c>
    </row>
    <row r="57" spans="1:11">
      <c r="A57" s="246" t="s">
        <v>425</v>
      </c>
      <c r="B57" s="98" t="s">
        <v>516</v>
      </c>
      <c r="C57" s="100" t="s">
        <v>272</v>
      </c>
      <c r="D57" s="241" t="b">
        <v>1</v>
      </c>
      <c r="E57" s="242" t="b">
        <v>0</v>
      </c>
      <c r="F57" s="242" t="b">
        <v>1</v>
      </c>
      <c r="G57" s="242" t="b">
        <v>0</v>
      </c>
      <c r="H57" s="242" t="b">
        <v>1</v>
      </c>
      <c r="I57" s="242" t="b">
        <v>0</v>
      </c>
      <c r="J57" s="10"/>
      <c r="K57" s="10" t="s">
        <v>623</v>
      </c>
    </row>
    <row r="58" spans="1:11">
      <c r="A58" s="246" t="s">
        <v>624</v>
      </c>
      <c r="B58" s="98" t="s">
        <v>625</v>
      </c>
      <c r="C58" s="100" t="s">
        <v>626</v>
      </c>
      <c r="D58" s="241" t="b">
        <v>1</v>
      </c>
      <c r="E58" s="242" t="b">
        <v>1</v>
      </c>
      <c r="F58" s="242" t="b">
        <v>1</v>
      </c>
      <c r="G58" s="242" t="b">
        <v>0</v>
      </c>
      <c r="H58" s="242" t="b">
        <v>0</v>
      </c>
      <c r="I58" s="242" t="b">
        <v>0</v>
      </c>
      <c r="J58" s="10"/>
      <c r="K58" s="10" t="s">
        <v>627</v>
      </c>
    </row>
    <row r="59" spans="1:11">
      <c r="A59" s="246" t="s">
        <v>414</v>
      </c>
      <c r="B59" s="98" t="s">
        <v>628</v>
      </c>
      <c r="C59" s="243" t="s">
        <v>629</v>
      </c>
      <c r="D59" s="241" t="b">
        <v>1</v>
      </c>
      <c r="E59" s="242" t="b">
        <v>1</v>
      </c>
      <c r="F59" s="242" t="b">
        <v>1</v>
      </c>
      <c r="G59" s="242" t="b">
        <v>0</v>
      </c>
      <c r="H59" s="242" t="b">
        <v>0</v>
      </c>
      <c r="I59" s="242" t="b">
        <v>0</v>
      </c>
      <c r="J59" s="10"/>
      <c r="K59" s="10" t="s">
        <v>630</v>
      </c>
    </row>
    <row r="60" spans="1:11">
      <c r="A60" s="246" t="s">
        <v>415</v>
      </c>
      <c r="B60" s="98" t="s">
        <v>631</v>
      </c>
      <c r="C60" s="100" t="s">
        <v>632</v>
      </c>
      <c r="D60" s="241" t="b">
        <v>1</v>
      </c>
      <c r="E60" s="242" t="b">
        <v>0</v>
      </c>
      <c r="F60" s="242" t="b">
        <v>0</v>
      </c>
      <c r="G60" s="242" t="b">
        <v>0</v>
      </c>
      <c r="H60" s="242" t="b">
        <v>0</v>
      </c>
      <c r="I60" s="242" t="b">
        <v>1</v>
      </c>
      <c r="J60" s="10"/>
      <c r="K60" s="10" t="s">
        <v>633</v>
      </c>
    </row>
    <row r="61" spans="1:11">
      <c r="A61" s="246" t="s">
        <v>634</v>
      </c>
      <c r="B61" s="98" t="s">
        <v>635</v>
      </c>
      <c r="C61" s="100" t="s">
        <v>327</v>
      </c>
      <c r="D61" s="241" t="b">
        <v>1</v>
      </c>
      <c r="E61" s="242" t="b">
        <v>1</v>
      </c>
      <c r="F61" s="242" t="b">
        <v>0</v>
      </c>
      <c r="G61" s="242" t="b">
        <v>0</v>
      </c>
      <c r="H61" s="242" t="b">
        <v>1</v>
      </c>
      <c r="I61" s="242" t="b">
        <v>0</v>
      </c>
      <c r="J61" s="10"/>
      <c r="K61" s="10" t="s">
        <v>636</v>
      </c>
    </row>
    <row r="62" spans="1:11">
      <c r="A62" s="246" t="s">
        <v>637</v>
      </c>
      <c r="B62" s="98" t="s">
        <v>638</v>
      </c>
      <c r="C62" s="100" t="s">
        <v>315</v>
      </c>
      <c r="D62" s="241" t="b">
        <v>1</v>
      </c>
      <c r="E62" s="242" t="b">
        <v>0</v>
      </c>
      <c r="F62" s="242" t="b">
        <v>1</v>
      </c>
      <c r="G62" s="242" t="b">
        <v>0</v>
      </c>
      <c r="H62" s="242" t="b">
        <v>0</v>
      </c>
      <c r="I62" s="242" t="b">
        <v>0</v>
      </c>
      <c r="J62" s="10"/>
      <c r="K62" s="10" t="s">
        <v>639</v>
      </c>
    </row>
    <row r="63" spans="1:11">
      <c r="A63" s="246" t="s">
        <v>640</v>
      </c>
      <c r="B63" s="98" t="s">
        <v>641</v>
      </c>
      <c r="C63" s="243" t="s">
        <v>317</v>
      </c>
      <c r="D63" s="241" t="b">
        <v>0</v>
      </c>
      <c r="E63" s="242" t="b">
        <v>0</v>
      </c>
      <c r="F63" s="242" t="b">
        <v>1</v>
      </c>
      <c r="G63" s="242" t="b">
        <v>0</v>
      </c>
      <c r="H63" s="242" t="b">
        <v>0</v>
      </c>
      <c r="I63" s="242" t="b">
        <v>0</v>
      </c>
      <c r="J63" s="10"/>
      <c r="K63" s="10" t="s">
        <v>642</v>
      </c>
    </row>
    <row r="64" spans="1:11">
      <c r="A64" s="246" t="s">
        <v>643</v>
      </c>
      <c r="B64" s="98" t="s">
        <v>644</v>
      </c>
      <c r="C64" s="100" t="s">
        <v>645</v>
      </c>
      <c r="D64" s="241" t="b">
        <v>0</v>
      </c>
      <c r="E64" s="242" t="b">
        <v>1</v>
      </c>
      <c r="F64" s="242" t="b">
        <v>1</v>
      </c>
      <c r="G64" s="242" t="b">
        <v>1</v>
      </c>
      <c r="H64" s="242" t="b">
        <v>0</v>
      </c>
      <c r="I64" s="242" t="b">
        <v>0</v>
      </c>
      <c r="J64" s="10"/>
      <c r="K64" s="10" t="s">
        <v>646</v>
      </c>
    </row>
    <row r="65" spans="1:11">
      <c r="A65" s="246" t="s">
        <v>647</v>
      </c>
      <c r="B65" s="98" t="s">
        <v>648</v>
      </c>
      <c r="C65" s="100" t="s">
        <v>330</v>
      </c>
      <c r="D65" s="241" t="b">
        <v>0</v>
      </c>
      <c r="E65" s="242" t="b">
        <v>1</v>
      </c>
      <c r="F65" s="242" t="b">
        <v>1</v>
      </c>
      <c r="G65" s="242" t="b">
        <v>1</v>
      </c>
      <c r="H65" s="242" t="b">
        <v>0</v>
      </c>
      <c r="I65" s="242" t="b">
        <v>0</v>
      </c>
      <c r="J65" s="10"/>
      <c r="K65" s="10" t="s">
        <v>649</v>
      </c>
    </row>
    <row r="66" spans="1:11">
      <c r="A66" s="246" t="s">
        <v>650</v>
      </c>
      <c r="B66" s="98" t="s">
        <v>651</v>
      </c>
      <c r="C66" t="s">
        <v>652</v>
      </c>
      <c r="D66" s="241" t="b">
        <v>0</v>
      </c>
      <c r="E66" s="242" t="b">
        <v>1</v>
      </c>
      <c r="F66" s="242" t="b">
        <v>1</v>
      </c>
      <c r="G66" s="242" t="b">
        <v>1</v>
      </c>
      <c r="H66" s="242" t="b">
        <v>0</v>
      </c>
      <c r="I66" s="242" t="b">
        <v>0</v>
      </c>
      <c r="J66" s="10"/>
      <c r="K66" s="10" t="s">
        <v>653</v>
      </c>
    </row>
    <row r="67" spans="1:11">
      <c r="A67" s="246" t="s">
        <v>654</v>
      </c>
      <c r="B67" s="98" t="s">
        <v>516</v>
      </c>
      <c r="C67" t="s">
        <v>655</v>
      </c>
      <c r="D67" s="241" t="b">
        <v>0</v>
      </c>
      <c r="E67" s="242" t="b">
        <v>1</v>
      </c>
      <c r="F67" s="242" t="b">
        <v>1</v>
      </c>
      <c r="G67" s="242" t="b">
        <v>1</v>
      </c>
      <c r="H67" s="242" t="b">
        <v>1</v>
      </c>
      <c r="I67" s="242" t="b">
        <v>0</v>
      </c>
      <c r="J67" s="10" t="s">
        <v>656</v>
      </c>
      <c r="K67" s="10" t="s">
        <v>657</v>
      </c>
    </row>
    <row r="68" spans="1:11">
      <c r="A68" s="246" t="s">
        <v>428</v>
      </c>
      <c r="B68" s="98" t="s">
        <v>516</v>
      </c>
      <c r="C68" s="100" t="s">
        <v>658</v>
      </c>
      <c r="D68" s="241" t="b">
        <v>0</v>
      </c>
      <c r="E68" s="242" t="b">
        <v>0</v>
      </c>
      <c r="F68" s="242" t="b">
        <v>1</v>
      </c>
      <c r="G68" s="242" t="b">
        <v>0</v>
      </c>
      <c r="H68" s="242" t="b">
        <v>1</v>
      </c>
      <c r="I68" s="242" t="b">
        <v>0</v>
      </c>
      <c r="J68" s="10" t="s">
        <v>656</v>
      </c>
      <c r="K68" s="82" t="s">
        <v>659</v>
      </c>
    </row>
    <row r="69" spans="1:11">
      <c r="A69" s="246" t="s">
        <v>660</v>
      </c>
      <c r="B69" s="98" t="s">
        <v>525</v>
      </c>
      <c r="C69" s="100" t="s">
        <v>84</v>
      </c>
      <c r="D69" s="241" t="b">
        <v>1</v>
      </c>
      <c r="E69" s="242" t="b">
        <v>1</v>
      </c>
      <c r="F69" s="242" t="b">
        <v>1</v>
      </c>
      <c r="G69" s="242" t="b">
        <v>1</v>
      </c>
      <c r="H69" s="242" t="b">
        <v>1</v>
      </c>
      <c r="I69" s="242" t="b">
        <v>0</v>
      </c>
      <c r="J69" s="10"/>
      <c r="K69" s="10" t="s">
        <v>661</v>
      </c>
    </row>
    <row r="70" spans="1:11">
      <c r="A70" s="256" t="s">
        <v>662</v>
      </c>
      <c r="B70" s="55" t="s">
        <v>513</v>
      </c>
      <c r="C70" s="35" t="s">
        <v>663</v>
      </c>
      <c r="D70" s="241" t="b">
        <v>1</v>
      </c>
      <c r="E70" s="242" t="b">
        <v>1</v>
      </c>
      <c r="F70" s="242" t="b">
        <v>1</v>
      </c>
      <c r="G70" s="242" t="b">
        <v>1</v>
      </c>
      <c r="H70" s="242" t="b">
        <v>0</v>
      </c>
      <c r="I70" s="242" t="b">
        <v>0</v>
      </c>
      <c r="J70" s="10"/>
      <c r="K70" s="10" t="s">
        <v>664</v>
      </c>
    </row>
    <row r="71" spans="1:11">
      <c r="A71" s="257" t="s">
        <v>665</v>
      </c>
      <c r="B71" s="55" t="s">
        <v>510</v>
      </c>
      <c r="C71" s="35" t="s">
        <v>666</v>
      </c>
      <c r="D71" s="241" t="b">
        <v>1</v>
      </c>
      <c r="E71" s="242" t="b">
        <v>0</v>
      </c>
      <c r="F71" s="242" t="b">
        <v>1</v>
      </c>
      <c r="G71" s="242" t="b">
        <v>0</v>
      </c>
      <c r="H71" s="242" t="b">
        <v>0</v>
      </c>
      <c r="I71" s="242" t="b">
        <v>0</v>
      </c>
      <c r="J71" s="10"/>
      <c r="K71" s="10" t="s">
        <v>667</v>
      </c>
    </row>
    <row r="72" spans="1:11">
      <c r="A72" s="315" t="s">
        <v>419</v>
      </c>
      <c r="B72" s="316" t="s">
        <v>513</v>
      </c>
      <c r="C72" s="317" t="s">
        <v>256</v>
      </c>
      <c r="D72" s="251" t="b">
        <v>0</v>
      </c>
      <c r="E72" s="252" t="b">
        <v>0</v>
      </c>
      <c r="F72" s="252" t="b">
        <v>0</v>
      </c>
      <c r="G72" s="252" t="b">
        <v>0</v>
      </c>
      <c r="H72" s="252" t="b">
        <v>0</v>
      </c>
      <c r="I72" s="252" t="b">
        <v>0</v>
      </c>
      <c r="J72" s="94"/>
      <c r="K72" s="318" t="s">
        <v>668</v>
      </c>
    </row>
    <row r="73" spans="1:11">
      <c r="A73" s="305" t="s">
        <v>669</v>
      </c>
      <c r="B73" s="24" t="s">
        <v>513</v>
      </c>
      <c r="C73" s="255" t="s">
        <v>670</v>
      </c>
      <c r="D73" s="241" t="b">
        <v>1</v>
      </c>
      <c r="E73" s="242" t="b">
        <v>0</v>
      </c>
      <c r="F73" s="242" t="b">
        <v>1</v>
      </c>
      <c r="G73" s="242" t="b">
        <v>0</v>
      </c>
      <c r="H73" s="242" t="b">
        <v>0</v>
      </c>
      <c r="I73" s="242" t="b">
        <v>0</v>
      </c>
      <c r="J73" s="10"/>
      <c r="K73" s="82" t="s">
        <v>671</v>
      </c>
    </row>
    <row r="74" spans="1:11">
      <c r="A74" s="247" t="s">
        <v>672</v>
      </c>
      <c r="B74" s="98" t="s">
        <v>531</v>
      </c>
      <c r="C74" s="100" t="s">
        <v>673</v>
      </c>
      <c r="D74" s="241" t="b">
        <v>0</v>
      </c>
      <c r="E74" s="242" t="b">
        <v>0</v>
      </c>
      <c r="F74" s="242" t="b">
        <v>1</v>
      </c>
      <c r="G74" s="242" t="b">
        <v>0</v>
      </c>
      <c r="H74" s="242" t="b">
        <v>0</v>
      </c>
      <c r="I74" s="242" t="b">
        <v>0</v>
      </c>
      <c r="J74" s="321"/>
      <c r="K74" s="82" t="s">
        <v>674</v>
      </c>
    </row>
    <row r="75" spans="1:11">
      <c r="A75" s="247"/>
      <c r="B75" s="98"/>
      <c r="C75" s="100"/>
      <c r="D75" s="241" t="b">
        <v>0</v>
      </c>
      <c r="E75" s="242" t="b">
        <v>0</v>
      </c>
      <c r="F75" s="242" t="b">
        <v>0</v>
      </c>
      <c r="G75" s="242" t="b">
        <v>0</v>
      </c>
      <c r="H75" s="242" t="b">
        <v>0</v>
      </c>
      <c r="I75" s="242" t="b">
        <v>0</v>
      </c>
      <c r="J75" s="10"/>
      <c r="K75" s="10"/>
    </row>
    <row r="76" spans="1:11">
      <c r="A76" s="247"/>
      <c r="B76" s="98"/>
      <c r="C76" s="100"/>
      <c r="D76" s="241" t="b">
        <v>0</v>
      </c>
      <c r="E76" s="242" t="b">
        <v>0</v>
      </c>
      <c r="F76" s="242" t="b">
        <v>0</v>
      </c>
      <c r="G76" s="242" t="b">
        <v>0</v>
      </c>
      <c r="H76" s="242" t="b">
        <v>0</v>
      </c>
      <c r="I76" s="242" t="b">
        <v>0</v>
      </c>
      <c r="J76" s="10"/>
      <c r="K76" s="10"/>
    </row>
    <row r="77" spans="1:11">
      <c r="A77" s="247"/>
      <c r="B77" s="98"/>
      <c r="C77" s="100"/>
      <c r="D77" s="241" t="b">
        <v>0</v>
      </c>
      <c r="E77" s="242" t="b">
        <v>0</v>
      </c>
      <c r="F77" s="242" t="b">
        <v>0</v>
      </c>
      <c r="G77" s="242" t="b">
        <v>0</v>
      </c>
      <c r="H77" s="242" t="b">
        <v>0</v>
      </c>
      <c r="I77" s="242" t="b">
        <v>0</v>
      </c>
      <c r="J77" s="10"/>
      <c r="K77" s="10"/>
    </row>
  </sheetData>
  <sheetProtection algorithmName="SHA-512" hashValue="yZ7nPEGH0Oc1xU8Td9+vmeMlHdJrApPtDw08oNyonrIhl5qlvK0JTyV+262f1fu+CEZxx+/dVZANIxVELzgXTQ==" saltValue="ghZO0WsbzjxRi+zH1utguw==" spinCount="100000" sheet="1" objects="1" scenarios="1"/>
  <conditionalFormatting sqref="A3:A11 A18">
    <cfRule type="expression" dxfId="194" priority="34">
      <formula>#REF!="CLOSED"</formula>
    </cfRule>
  </conditionalFormatting>
  <conditionalFormatting sqref="B3 B4:C6 B7:B37 C16:C23 B38:C40 C41 C43:C66 B56:B57 B60:B66">
    <cfRule type="expression" dxfId="193" priority="15">
      <formula>#REF!="CLOSED"</formula>
    </cfRule>
  </conditionalFormatting>
  <conditionalFormatting sqref="C26">
    <cfRule type="expression" dxfId="192" priority="14">
      <formula>#REF!="CLOSED"</formula>
    </cfRule>
  </conditionalFormatting>
  <conditionalFormatting sqref="C29:C35">
    <cfRule type="expression" dxfId="191" priority="12">
      <formula>#REF!="CLOSED"</formula>
    </cfRule>
  </conditionalFormatting>
  <dataValidations count="2">
    <dataValidation type="list" allowBlank="1" showInputMessage="1" showErrorMessage="1" sqref="B60:B66 B55:B57 B3:B40" xr:uid="{AA046D93-2982-9146-8622-E5FF54D39A42}">
      <formula1>#REF!</formula1>
    </dataValidation>
    <dataValidation allowBlank="1" showInputMessage="1" showErrorMessage="1" sqref="B3:C66" xr:uid="{8F878F42-908E-8445-9421-9639EFDA5580}"/>
  </dataValidations>
  <hyperlinks>
    <hyperlink ref="K68" r:id="rId1" display="../../../../:f:/s/DMO2-PCRM/IgASuCEZCAbwS4dTWZtfUIlOAZ0KEBbZrDai6DCVE9BpVSY?e=itBd1r" xr:uid="{E2C954F6-C7F2-8E46-A28E-9EA648B9CD31}"/>
    <hyperlink ref="K73" r:id="rId2" display="../../../../:f:/s/DMO2-PCRM/IgBnwHSOUn66QoH34x3htf89ASdipyIBsv00gn3ibQPgNLc?e=MtxWgJ" xr:uid="{0EB5716F-DEB6-A443-A6E2-1694C7511004}"/>
    <hyperlink ref="K72" r:id="rId3" display="../../../../:f:/s/DMO2-PCRM/IgCsRLBL2_LsRo1QHUoSknSnAXCb8N6xNZUsnUHsCVaoNB8?e=Lmnera" xr:uid="{A66E62F8-5C89-7742-BEE2-D9667C4A9220}"/>
    <hyperlink ref="K74" r:id="rId4" xr:uid="{122AD8C5-8D3E-D94A-8839-3B92688CD775}"/>
  </hyperlinks>
  <pageMargins left="0.7" right="0.7" top="0.75" bottom="0.75" header="0.3" footer="0.3"/>
  <pageSetup paperSize="9" orientation="portrait" horizontalDpi="0" verticalDpi="0"/>
  <ignoredErrors>
    <ignoredError sqref="B41:C65 B3:B40 B68:C69 B66 B67" listDataValidation="1"/>
  </ignoredErrors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6C33-0A27-7E4E-8008-E4422C40C54D}">
  <dimension ref="A2:G67"/>
  <sheetViews>
    <sheetView zoomScale="80" zoomScaleNormal="80" workbookViewId="0">
      <selection activeCell="G3" sqref="G3"/>
    </sheetView>
  </sheetViews>
  <sheetFormatPr defaultColWidth="11.3984375" defaultRowHeight="13.8"/>
  <cols>
    <col min="1" max="1" width="14.09765625" bestFit="1" customWidth="1"/>
    <col min="2" max="2" width="17" bestFit="1" customWidth="1"/>
    <col min="3" max="3" width="115.69921875" bestFit="1" customWidth="1"/>
    <col min="4" max="4" width="19.296875" bestFit="1" customWidth="1"/>
    <col min="5" max="5" width="19.296875" customWidth="1"/>
    <col min="6" max="7" width="18.69921875" bestFit="1" customWidth="1"/>
  </cols>
  <sheetData>
    <row r="2" spans="1:7">
      <c r="A2" s="154" t="s">
        <v>489</v>
      </c>
      <c r="B2" s="154" t="s">
        <v>490</v>
      </c>
      <c r="C2" s="154" t="s">
        <v>491</v>
      </c>
      <c r="D2" s="154" t="s">
        <v>675</v>
      </c>
      <c r="E2" s="154" t="s">
        <v>676</v>
      </c>
      <c r="F2" s="154" t="s">
        <v>677</v>
      </c>
      <c r="G2" s="154" t="s">
        <v>678</v>
      </c>
    </row>
    <row r="3" spans="1:7">
      <c r="A3" s="155" t="s">
        <v>22</v>
      </c>
      <c r="B3" s="156" t="s">
        <v>499</v>
      </c>
      <c r="C3" s="156" t="s">
        <v>500</v>
      </c>
    </row>
    <row r="4" spans="1:7">
      <c r="A4" s="15" t="s">
        <v>121</v>
      </c>
      <c r="B4" s="23" t="s">
        <v>502</v>
      </c>
      <c r="C4" s="23" t="s">
        <v>500</v>
      </c>
    </row>
    <row r="5" spans="1:7">
      <c r="A5" s="157" t="s">
        <v>128</v>
      </c>
      <c r="B5" s="158" t="s">
        <v>504</v>
      </c>
      <c r="C5" s="158" t="s">
        <v>127</v>
      </c>
    </row>
    <row r="6" spans="1:7">
      <c r="A6" s="159" t="s">
        <v>130</v>
      </c>
      <c r="B6" s="160" t="s">
        <v>507</v>
      </c>
      <c r="C6" s="160" t="s">
        <v>508</v>
      </c>
    </row>
    <row r="7" spans="1:7">
      <c r="A7" s="157" t="s">
        <v>184</v>
      </c>
      <c r="B7" s="158" t="s">
        <v>510</v>
      </c>
      <c r="C7" s="158" t="s">
        <v>511</v>
      </c>
    </row>
    <row r="8" spans="1:7">
      <c r="A8" s="159" t="s">
        <v>265</v>
      </c>
      <c r="B8" s="160" t="s">
        <v>516</v>
      </c>
      <c r="C8" s="160" t="s">
        <v>264</v>
      </c>
    </row>
    <row r="9" spans="1:7">
      <c r="A9" s="157" t="s">
        <v>528</v>
      </c>
      <c r="B9" s="158" t="s">
        <v>504</v>
      </c>
      <c r="C9" s="156" t="s">
        <v>310</v>
      </c>
    </row>
    <row r="10" spans="1:7">
      <c r="A10" s="159" t="s">
        <v>530</v>
      </c>
      <c r="B10" s="160" t="s">
        <v>531</v>
      </c>
      <c r="C10" s="160" t="s">
        <v>532</v>
      </c>
    </row>
    <row r="11" spans="1:7">
      <c r="A11" s="155" t="s">
        <v>534</v>
      </c>
      <c r="B11" s="156" t="s">
        <v>535</v>
      </c>
      <c r="C11" s="156" t="s">
        <v>500</v>
      </c>
    </row>
    <row r="12" spans="1:7">
      <c r="A12" s="25" t="s">
        <v>413</v>
      </c>
      <c r="B12" s="23" t="s">
        <v>510</v>
      </c>
      <c r="C12" s="23" t="s">
        <v>537</v>
      </c>
    </row>
    <row r="13" spans="1:7">
      <c r="A13" s="155" t="s">
        <v>539</v>
      </c>
      <c r="B13" s="156" t="s">
        <v>540</v>
      </c>
      <c r="C13" s="161" t="s">
        <v>249</v>
      </c>
    </row>
    <row r="14" spans="1:7">
      <c r="A14" s="25" t="s">
        <v>542</v>
      </c>
      <c r="B14" s="23" t="s">
        <v>543</v>
      </c>
      <c r="C14" s="23" t="s">
        <v>544</v>
      </c>
    </row>
    <row r="15" spans="1:7">
      <c r="A15" s="155" t="s">
        <v>546</v>
      </c>
      <c r="B15" s="156" t="s">
        <v>513</v>
      </c>
      <c r="C15" s="156" t="s">
        <v>547</v>
      </c>
    </row>
    <row r="16" spans="1:7">
      <c r="A16" s="25" t="s">
        <v>423</v>
      </c>
      <c r="B16" s="23" t="s">
        <v>513</v>
      </c>
      <c r="C16" s="19" t="s">
        <v>302</v>
      </c>
    </row>
    <row r="17" spans="1:3">
      <c r="A17" s="162" t="s">
        <v>551</v>
      </c>
      <c r="B17" s="156" t="s">
        <v>507</v>
      </c>
      <c r="C17" s="156" t="s">
        <v>552</v>
      </c>
    </row>
    <row r="18" spans="1:3">
      <c r="A18" s="15" t="s">
        <v>432</v>
      </c>
      <c r="B18" s="23" t="s">
        <v>510</v>
      </c>
      <c r="C18" s="23" t="s">
        <v>319</v>
      </c>
    </row>
    <row r="19" spans="1:3">
      <c r="A19" s="155" t="s">
        <v>555</v>
      </c>
      <c r="B19" s="156" t="s">
        <v>513</v>
      </c>
      <c r="C19" s="163" t="s">
        <v>480</v>
      </c>
    </row>
    <row r="20" spans="1:3">
      <c r="A20" s="15" t="s">
        <v>431</v>
      </c>
      <c r="B20" s="23" t="s">
        <v>510</v>
      </c>
      <c r="C20" s="23" t="s">
        <v>312</v>
      </c>
    </row>
    <row r="21" spans="1:3">
      <c r="A21" s="162" t="s">
        <v>557</v>
      </c>
      <c r="B21" s="156" t="s">
        <v>510</v>
      </c>
      <c r="C21" s="164" t="s">
        <v>274</v>
      </c>
    </row>
    <row r="22" spans="1:3">
      <c r="A22" s="25" t="s">
        <v>559</v>
      </c>
      <c r="B22" s="23" t="s">
        <v>510</v>
      </c>
      <c r="C22" s="19" t="s">
        <v>560</v>
      </c>
    </row>
    <row r="23" spans="1:3">
      <c r="A23" s="162" t="s">
        <v>562</v>
      </c>
      <c r="B23" s="156" t="s">
        <v>510</v>
      </c>
      <c r="C23" s="156" t="s">
        <v>276</v>
      </c>
    </row>
    <row r="24" spans="1:3">
      <c r="A24" s="25" t="s">
        <v>564</v>
      </c>
      <c r="B24" s="23" t="s">
        <v>513</v>
      </c>
      <c r="C24" s="23" t="s">
        <v>565</v>
      </c>
    </row>
    <row r="25" spans="1:3">
      <c r="A25" s="155" t="s">
        <v>567</v>
      </c>
      <c r="B25" s="156" t="s">
        <v>513</v>
      </c>
      <c r="C25" s="156" t="s">
        <v>568</v>
      </c>
    </row>
    <row r="26" spans="1:3">
      <c r="A26" s="15" t="s">
        <v>410</v>
      </c>
      <c r="B26" s="23" t="s">
        <v>513</v>
      </c>
      <c r="C26" s="23" t="s">
        <v>306</v>
      </c>
    </row>
    <row r="27" spans="1:3">
      <c r="A27" s="155" t="s">
        <v>377</v>
      </c>
      <c r="B27" s="156" t="s">
        <v>513</v>
      </c>
      <c r="C27" s="156" t="s">
        <v>571</v>
      </c>
    </row>
    <row r="28" spans="1:3">
      <c r="A28" s="15" t="s">
        <v>420</v>
      </c>
      <c r="B28" s="23" t="s">
        <v>513</v>
      </c>
      <c r="C28" s="23" t="s">
        <v>280</v>
      </c>
    </row>
    <row r="29" spans="1:3">
      <c r="A29" s="155" t="s">
        <v>574</v>
      </c>
      <c r="B29" s="156" t="s">
        <v>513</v>
      </c>
      <c r="C29" s="161" t="s">
        <v>284</v>
      </c>
    </row>
    <row r="30" spans="1:3">
      <c r="A30" s="15" t="s">
        <v>576</v>
      </c>
      <c r="B30" s="23" t="s">
        <v>513</v>
      </c>
      <c r="C30" s="23" t="s">
        <v>577</v>
      </c>
    </row>
    <row r="31" spans="1:3">
      <c r="A31" s="155" t="s">
        <v>411</v>
      </c>
      <c r="B31" s="156" t="s">
        <v>513</v>
      </c>
      <c r="C31" s="156" t="s">
        <v>581</v>
      </c>
    </row>
    <row r="32" spans="1:3">
      <c r="A32" s="15" t="s">
        <v>373</v>
      </c>
      <c r="B32" s="23" t="s">
        <v>513</v>
      </c>
      <c r="C32" s="165" t="s">
        <v>583</v>
      </c>
    </row>
    <row r="33" spans="1:3">
      <c r="A33" s="155" t="s">
        <v>585</v>
      </c>
      <c r="B33" s="156" t="s">
        <v>513</v>
      </c>
      <c r="C33" s="156" t="s">
        <v>243</v>
      </c>
    </row>
    <row r="34" spans="1:3">
      <c r="A34" s="15" t="s">
        <v>429</v>
      </c>
      <c r="B34" s="23" t="s">
        <v>513</v>
      </c>
      <c r="C34" s="23" t="s">
        <v>587</v>
      </c>
    </row>
    <row r="35" spans="1:3">
      <c r="A35" s="155" t="s">
        <v>424</v>
      </c>
      <c r="B35" s="156" t="s">
        <v>513</v>
      </c>
      <c r="C35" s="156" t="s">
        <v>321</v>
      </c>
    </row>
    <row r="36" spans="1:3">
      <c r="A36" s="15" t="s">
        <v>422</v>
      </c>
      <c r="B36" s="23" t="s">
        <v>513</v>
      </c>
      <c r="C36" s="23" t="s">
        <v>590</v>
      </c>
    </row>
    <row r="37" spans="1:3">
      <c r="A37" s="162" t="s">
        <v>592</v>
      </c>
      <c r="B37" s="156" t="s">
        <v>513</v>
      </c>
      <c r="C37" s="161" t="s">
        <v>593</v>
      </c>
    </row>
    <row r="38" spans="1:3">
      <c r="A38" s="15" t="s">
        <v>396</v>
      </c>
      <c r="B38" s="23" t="s">
        <v>513</v>
      </c>
      <c r="C38" s="23" t="s">
        <v>595</v>
      </c>
    </row>
    <row r="39" spans="1:3">
      <c r="A39" s="162" t="s">
        <v>427</v>
      </c>
      <c r="B39" s="156" t="s">
        <v>513</v>
      </c>
      <c r="C39" s="166" t="s">
        <v>323</v>
      </c>
    </row>
    <row r="40" spans="1:3">
      <c r="A40" s="25" t="s">
        <v>597</v>
      </c>
      <c r="B40" s="23" t="s">
        <v>513</v>
      </c>
      <c r="C40" s="19" t="s">
        <v>325</v>
      </c>
    </row>
    <row r="41" spans="1:3">
      <c r="A41" s="162" t="s">
        <v>599</v>
      </c>
      <c r="B41" s="156" t="s">
        <v>513</v>
      </c>
      <c r="C41" s="166" t="s">
        <v>679</v>
      </c>
    </row>
    <row r="42" spans="1:3">
      <c r="A42" s="15" t="s">
        <v>418</v>
      </c>
      <c r="B42" s="23" t="s">
        <v>504</v>
      </c>
      <c r="C42" s="23" t="s">
        <v>127</v>
      </c>
    </row>
    <row r="43" spans="1:3">
      <c r="A43" s="155" t="s">
        <v>603</v>
      </c>
      <c r="B43" s="156" t="s">
        <v>531</v>
      </c>
      <c r="C43" s="156" t="s">
        <v>604</v>
      </c>
    </row>
    <row r="44" spans="1:3">
      <c r="A44" s="15" t="s">
        <v>606</v>
      </c>
      <c r="B44" s="23" t="s">
        <v>531</v>
      </c>
      <c r="C44" s="23" t="s">
        <v>607</v>
      </c>
    </row>
    <row r="45" spans="1:3">
      <c r="A45" s="155" t="s">
        <v>609</v>
      </c>
      <c r="B45" s="156" t="s">
        <v>504</v>
      </c>
      <c r="C45" s="156" t="s">
        <v>245</v>
      </c>
    </row>
    <row r="46" spans="1:3">
      <c r="A46" s="15" t="s">
        <v>611</v>
      </c>
      <c r="B46" s="23" t="s">
        <v>504</v>
      </c>
      <c r="C46" s="23" t="s">
        <v>612</v>
      </c>
    </row>
    <row r="47" spans="1:3">
      <c r="A47" s="155" t="s">
        <v>614</v>
      </c>
      <c r="B47" s="156" t="s">
        <v>531</v>
      </c>
      <c r="C47" s="156" t="s">
        <v>615</v>
      </c>
    </row>
    <row r="48" spans="1:3">
      <c r="A48" s="15" t="s">
        <v>388</v>
      </c>
      <c r="B48" s="23" t="s">
        <v>504</v>
      </c>
      <c r="C48" s="23" t="s">
        <v>617</v>
      </c>
    </row>
    <row r="49" spans="1:3">
      <c r="A49" s="155" t="s">
        <v>619</v>
      </c>
      <c r="B49" s="156" t="s">
        <v>499</v>
      </c>
      <c r="C49" s="156" t="s">
        <v>500</v>
      </c>
    </row>
    <row r="50" spans="1:3">
      <c r="A50" s="15" t="s">
        <v>621</v>
      </c>
      <c r="B50" s="23" t="s">
        <v>531</v>
      </c>
      <c r="C50" s="23" t="s">
        <v>266</v>
      </c>
    </row>
    <row r="51" spans="1:3">
      <c r="A51" s="162" t="s">
        <v>425</v>
      </c>
      <c r="B51" s="156" t="s">
        <v>516</v>
      </c>
      <c r="C51" s="156" t="s">
        <v>272</v>
      </c>
    </row>
    <row r="52" spans="1:3">
      <c r="A52" s="25" t="s">
        <v>624</v>
      </c>
      <c r="B52" s="23" t="s">
        <v>625</v>
      </c>
      <c r="C52" s="23" t="s">
        <v>626</v>
      </c>
    </row>
    <row r="53" spans="1:3">
      <c r="A53" s="155" t="s">
        <v>414</v>
      </c>
      <c r="B53" s="156" t="s">
        <v>628</v>
      </c>
      <c r="C53" s="156" t="s">
        <v>629</v>
      </c>
    </row>
    <row r="54" spans="1:3">
      <c r="A54" s="25" t="s">
        <v>415</v>
      </c>
      <c r="B54" s="23" t="s">
        <v>631</v>
      </c>
      <c r="C54" s="19" t="s">
        <v>632</v>
      </c>
    </row>
    <row r="55" spans="1:3">
      <c r="A55" s="162" t="s">
        <v>634</v>
      </c>
      <c r="B55" s="156" t="s">
        <v>635</v>
      </c>
      <c r="C55" s="166" t="s">
        <v>327</v>
      </c>
    </row>
    <row r="56" spans="1:3">
      <c r="A56" s="15" t="s">
        <v>637</v>
      </c>
      <c r="B56" s="23" t="s">
        <v>638</v>
      </c>
      <c r="C56" s="23" t="s">
        <v>315</v>
      </c>
    </row>
    <row r="57" spans="1:3">
      <c r="A57" s="162" t="s">
        <v>640</v>
      </c>
      <c r="B57" s="156" t="s">
        <v>641</v>
      </c>
      <c r="C57" s="166" t="s">
        <v>317</v>
      </c>
    </row>
    <row r="58" spans="1:3">
      <c r="A58" s="25" t="s">
        <v>643</v>
      </c>
      <c r="B58" s="23" t="s">
        <v>644</v>
      </c>
      <c r="C58" s="23" t="s">
        <v>645</v>
      </c>
    </row>
    <row r="59" spans="1:3">
      <c r="A59" s="162" t="s">
        <v>647</v>
      </c>
      <c r="B59" s="156" t="s">
        <v>648</v>
      </c>
      <c r="C59" s="166" t="s">
        <v>330</v>
      </c>
    </row>
    <row r="60" spans="1:3">
      <c r="A60" s="25" t="s">
        <v>650</v>
      </c>
      <c r="B60" s="23" t="s">
        <v>651</v>
      </c>
      <c r="C60" s="19" t="s">
        <v>652</v>
      </c>
    </row>
    <row r="61" spans="1:3">
      <c r="A61" s="162" t="s">
        <v>654</v>
      </c>
      <c r="B61" s="156" t="s">
        <v>516</v>
      </c>
      <c r="C61" s="166" t="s">
        <v>655</v>
      </c>
    </row>
    <row r="62" spans="1:3">
      <c r="A62" s="73" t="s">
        <v>335</v>
      </c>
      <c r="B62" s="72"/>
      <c r="C62" s="72"/>
    </row>
    <row r="63" spans="1:3">
      <c r="A63" s="167" t="s">
        <v>336</v>
      </c>
      <c r="B63" s="168"/>
      <c r="C63" s="168"/>
    </row>
    <row r="64" spans="1:3">
      <c r="A64" s="73" t="s">
        <v>337</v>
      </c>
      <c r="B64" s="72"/>
      <c r="C64" s="72"/>
    </row>
    <row r="65" spans="1:3">
      <c r="A65" s="167" t="s">
        <v>521</v>
      </c>
      <c r="B65" s="168"/>
      <c r="C65" s="168"/>
    </row>
    <row r="66" spans="1:3">
      <c r="A66" s="73" t="s">
        <v>680</v>
      </c>
      <c r="B66" s="72"/>
      <c r="C66" s="72"/>
    </row>
    <row r="67" spans="1:3">
      <c r="A67" s="167" t="s">
        <v>681</v>
      </c>
      <c r="B67" s="168"/>
      <c r="C67" s="168"/>
    </row>
  </sheetData>
  <sheetProtection algorithmName="SHA-512" hashValue="3YJmWFE4rsUFanhoUdpiGJQRL7rPfrwmt6W3wYcTXc89FiIU6jhY+/pv9LwFY2NUVJ0WTEWNLUq+6NdwaV+H0Q==" saltValue="hraG43Le5o9ALDteiSBPxA==" spinCount="100000" sheet="1" objects="1" scenarios="1"/>
  <conditionalFormatting sqref="B3:B4 A3:A21 B5:C5 B7:B11 B12:C20 B21 B22:C22 B23:B24 B25:C29 B30:B32 B33:C36 A35:A37 B51:B52 A54:C57 B58:C58">
    <cfRule type="expression" dxfId="178" priority="5">
      <formula>#REF!="CLOSED"</formula>
    </cfRule>
  </conditionalFormatting>
  <conditionalFormatting sqref="B59:B61">
    <cfRule type="expression" dxfId="177" priority="4">
      <formula>#REF!="CLOSED"</formula>
    </cfRule>
  </conditionalFormatting>
  <conditionalFormatting sqref="C30">
    <cfRule type="expression" dxfId="176" priority="2">
      <formula>#REF!="CLOSED"</formula>
    </cfRule>
  </conditionalFormatting>
  <conditionalFormatting sqref="C37:C53">
    <cfRule type="expression" dxfId="175" priority="3">
      <formula>#REF!="CLOSED"</formula>
    </cfRule>
  </conditionalFormatting>
  <conditionalFormatting sqref="C59:C61">
    <cfRule type="expression" dxfId="174" priority="1">
      <formula>#REF!="CLOSED"</formula>
    </cfRule>
  </conditionalFormatting>
  <dataValidations count="2">
    <dataValidation type="list" allowBlank="1" showInputMessage="1" showErrorMessage="1" sqref="B51:B52 B54:B61 B3:B36" xr:uid="{D7BAD3E3-B423-6D49-943B-3C40DBB57235}">
      <formula1>#REF!</formula1>
    </dataValidation>
    <dataValidation allowBlank="1" showInputMessage="1" showErrorMessage="1" sqref="B3:B61" xr:uid="{99E9D754-EDE6-9243-A42F-E3696BA136BE}"/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4EF2-7DF0-5042-9B23-036A99FEE154}">
  <dimension ref="A1:BA50"/>
  <sheetViews>
    <sheetView zoomScale="80" zoomScaleNormal="80" workbookViewId="0">
      <selection activeCell="C11" sqref="C11"/>
    </sheetView>
  </sheetViews>
  <sheetFormatPr defaultColWidth="11.3984375" defaultRowHeight="13.8"/>
  <cols>
    <col min="1" max="1" width="10" bestFit="1" customWidth="1"/>
    <col min="2" max="2" width="12.3984375" bestFit="1" customWidth="1"/>
    <col min="3" max="3" width="123.09765625" bestFit="1" customWidth="1"/>
    <col min="4" max="4" width="12" customWidth="1"/>
    <col min="5" max="5" width="16.69921875" bestFit="1" customWidth="1"/>
    <col min="6" max="6" width="12.69921875" bestFit="1" customWidth="1"/>
    <col min="7" max="7" width="13.3984375" bestFit="1" customWidth="1"/>
    <col min="8" max="8" width="13.296875" bestFit="1" customWidth="1"/>
    <col min="9" max="9" width="13.09765625" bestFit="1" customWidth="1"/>
    <col min="10" max="10" width="13.296875" bestFit="1" customWidth="1"/>
    <col min="11" max="11" width="13.09765625" bestFit="1" customWidth="1"/>
    <col min="12" max="12" width="12.3984375" bestFit="1" customWidth="1"/>
    <col min="13" max="13" width="13.296875" bestFit="1" customWidth="1"/>
    <col min="14" max="14" width="13.3984375" bestFit="1" customWidth="1"/>
    <col min="15" max="15" width="13.09765625" bestFit="1" customWidth="1"/>
    <col min="16" max="17" width="13.3984375" bestFit="1" customWidth="1"/>
    <col min="18" max="18" width="11.09765625" hidden="1" customWidth="1"/>
    <col min="19" max="20" width="11.3984375" hidden="1" customWidth="1"/>
    <col min="21" max="21" width="11.296875" hidden="1" customWidth="1"/>
    <col min="22" max="22" width="11.3984375" hidden="1" customWidth="1"/>
    <col min="23" max="23" width="11.296875" hidden="1" customWidth="1"/>
    <col min="24" max="24" width="11.09765625" hidden="1" customWidth="1"/>
    <col min="25" max="25" width="11.3984375" hidden="1" customWidth="1"/>
    <col min="26" max="26" width="11.69921875" hidden="1" customWidth="1"/>
    <col min="27" max="27" width="11.296875" hidden="1" customWidth="1"/>
    <col min="28" max="29" width="11.69921875" hidden="1" customWidth="1"/>
    <col min="30" max="30" width="11.09765625" hidden="1" customWidth="1"/>
    <col min="31" max="32" width="11.3984375" hidden="1" customWidth="1"/>
    <col min="33" max="33" width="11.296875" hidden="1" customWidth="1"/>
    <col min="34" max="34" width="11.3984375" hidden="1" customWidth="1"/>
    <col min="35" max="35" width="11.296875" hidden="1" customWidth="1"/>
    <col min="36" max="36" width="11.09765625" hidden="1" customWidth="1"/>
    <col min="37" max="37" width="11.3984375" hidden="1" customWidth="1"/>
    <col min="38" max="38" width="11.69921875" hidden="1" customWidth="1"/>
    <col min="39" max="39" width="11.296875" hidden="1" customWidth="1"/>
    <col min="40" max="41" width="11.69921875" hidden="1" customWidth="1"/>
    <col min="42" max="42" width="11.09765625" hidden="1" customWidth="1"/>
    <col min="43" max="44" width="11.3984375" hidden="1" customWidth="1"/>
    <col min="45" max="45" width="11.296875" hidden="1" customWidth="1"/>
    <col min="46" max="46" width="11.3984375" hidden="1" customWidth="1"/>
    <col min="47" max="47" width="11.296875" hidden="1" customWidth="1"/>
    <col min="48" max="48" width="0" hidden="1" customWidth="1"/>
    <col min="49" max="49" width="11.3984375" hidden="1" customWidth="1"/>
    <col min="50" max="50" width="11.69921875" hidden="1" customWidth="1"/>
    <col min="51" max="51" width="11.296875" hidden="1" customWidth="1"/>
    <col min="52" max="53" width="11.69921875" hidden="1" customWidth="1"/>
  </cols>
  <sheetData>
    <row r="1" spans="1:53" ht="15.6">
      <c r="A1" s="86"/>
      <c r="B1" s="7"/>
      <c r="C1" s="14">
        <f>SUBTOTAL(3,C3:C50)</f>
        <v>46</v>
      </c>
      <c r="D1" s="74"/>
      <c r="E1" s="3"/>
      <c r="F1" s="570">
        <v>2026</v>
      </c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2"/>
      <c r="R1" s="573">
        <v>2027</v>
      </c>
      <c r="S1" s="574"/>
      <c r="T1" s="574"/>
      <c r="U1" s="574"/>
      <c r="V1" s="574"/>
      <c r="W1" s="574"/>
      <c r="X1" s="574"/>
      <c r="Y1" s="574"/>
      <c r="Z1" s="574"/>
      <c r="AA1" s="574"/>
      <c r="AB1" s="574"/>
      <c r="AC1" s="575"/>
      <c r="AD1" s="573">
        <v>2028</v>
      </c>
      <c r="AE1" s="574"/>
      <c r="AF1" s="574"/>
      <c r="AG1" s="574"/>
      <c r="AH1" s="574"/>
      <c r="AI1" s="574"/>
      <c r="AJ1" s="574"/>
      <c r="AK1" s="574"/>
      <c r="AL1" s="574"/>
      <c r="AM1" s="574"/>
      <c r="AN1" s="574"/>
      <c r="AO1" s="575"/>
      <c r="AP1" s="573">
        <v>2029</v>
      </c>
      <c r="AQ1" s="574"/>
      <c r="AR1" s="574"/>
      <c r="AS1" s="574"/>
      <c r="AT1" s="574"/>
      <c r="AU1" s="574"/>
      <c r="AV1" s="574"/>
      <c r="AW1" s="574"/>
      <c r="AX1" s="574"/>
      <c r="AY1" s="574"/>
      <c r="AZ1" s="574"/>
      <c r="BA1" s="575"/>
    </row>
    <row r="2" spans="1:53">
      <c r="A2" s="118" t="s">
        <v>782</v>
      </c>
      <c r="B2" s="118" t="s">
        <v>437</v>
      </c>
      <c r="C2" s="118" t="s">
        <v>491</v>
      </c>
      <c r="D2" s="118" t="s">
        <v>496</v>
      </c>
      <c r="E2" s="119" t="s">
        <v>783</v>
      </c>
      <c r="F2" s="111" t="s">
        <v>784</v>
      </c>
      <c r="G2" s="111" t="s">
        <v>785</v>
      </c>
      <c r="H2" s="111" t="s">
        <v>786</v>
      </c>
      <c r="I2" s="111" t="s">
        <v>787</v>
      </c>
      <c r="J2" s="111" t="s">
        <v>788</v>
      </c>
      <c r="K2" s="111" t="s">
        <v>789</v>
      </c>
      <c r="L2" s="111" t="s">
        <v>790</v>
      </c>
      <c r="M2" s="111" t="s">
        <v>791</v>
      </c>
      <c r="N2" s="111" t="s">
        <v>792</v>
      </c>
      <c r="O2" s="111" t="s">
        <v>793</v>
      </c>
      <c r="P2" s="111" t="s">
        <v>794</v>
      </c>
      <c r="Q2" s="111" t="s">
        <v>795</v>
      </c>
      <c r="R2" s="111" t="s">
        <v>796</v>
      </c>
      <c r="S2" s="111" t="s">
        <v>797</v>
      </c>
      <c r="T2" s="111" t="s">
        <v>798</v>
      </c>
      <c r="U2" s="111" t="s">
        <v>799</v>
      </c>
      <c r="V2" s="111" t="s">
        <v>800</v>
      </c>
      <c r="W2" s="111" t="s">
        <v>801</v>
      </c>
      <c r="X2" s="111" t="s">
        <v>802</v>
      </c>
      <c r="Y2" s="111" t="s">
        <v>803</v>
      </c>
      <c r="Z2" s="111" t="s">
        <v>804</v>
      </c>
      <c r="AA2" s="111" t="s">
        <v>805</v>
      </c>
      <c r="AB2" s="111" t="s">
        <v>806</v>
      </c>
      <c r="AC2" s="111" t="s">
        <v>807</v>
      </c>
      <c r="AD2" s="111" t="s">
        <v>808</v>
      </c>
      <c r="AE2" s="111" t="s">
        <v>809</v>
      </c>
      <c r="AF2" s="111" t="s">
        <v>810</v>
      </c>
      <c r="AG2" s="111" t="s">
        <v>811</v>
      </c>
      <c r="AH2" s="111" t="s">
        <v>812</v>
      </c>
      <c r="AI2" s="111" t="s">
        <v>813</v>
      </c>
      <c r="AJ2" s="111" t="s">
        <v>814</v>
      </c>
      <c r="AK2" s="111" t="s">
        <v>815</v>
      </c>
      <c r="AL2" s="111" t="s">
        <v>816</v>
      </c>
      <c r="AM2" s="111" t="s">
        <v>817</v>
      </c>
      <c r="AN2" s="111" t="s">
        <v>818</v>
      </c>
      <c r="AO2" s="111" t="s">
        <v>819</v>
      </c>
      <c r="AP2" s="111" t="s">
        <v>820</v>
      </c>
      <c r="AQ2" s="111" t="s">
        <v>821</v>
      </c>
      <c r="AR2" s="111" t="s">
        <v>822</v>
      </c>
      <c r="AS2" s="111" t="s">
        <v>823</v>
      </c>
      <c r="AT2" s="111" t="s">
        <v>824</v>
      </c>
      <c r="AU2" s="111" t="s">
        <v>825</v>
      </c>
      <c r="AV2" s="111" t="s">
        <v>826</v>
      </c>
      <c r="AW2" s="111" t="s">
        <v>827</v>
      </c>
      <c r="AX2" s="111" t="s">
        <v>828</v>
      </c>
      <c r="AY2" s="111" t="s">
        <v>829</v>
      </c>
      <c r="AZ2" s="111" t="s">
        <v>830</v>
      </c>
      <c r="BA2" s="111" t="s">
        <v>831</v>
      </c>
    </row>
    <row r="3" spans="1:53">
      <c r="A3" s="120" t="s">
        <v>128</v>
      </c>
      <c r="B3" s="121" t="s">
        <v>504</v>
      </c>
      <c r="C3" s="121" t="s">
        <v>127</v>
      </c>
      <c r="D3" s="130">
        <v>0.79</v>
      </c>
      <c r="E3" s="122"/>
      <c r="F3" s="50"/>
      <c r="G3" s="149" t="s">
        <v>832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36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4"/>
      <c r="AD3" s="36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4"/>
      <c r="AP3" s="36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4"/>
    </row>
    <row r="4" spans="1:53">
      <c r="A4" s="139" t="s">
        <v>413</v>
      </c>
      <c r="B4" s="140" t="s">
        <v>510</v>
      </c>
      <c r="C4" s="140" t="s">
        <v>537</v>
      </c>
      <c r="D4" s="136" t="s">
        <v>833</v>
      </c>
      <c r="E4" s="137" t="s">
        <v>834</v>
      </c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12"/>
      <c r="AC4" s="113"/>
      <c r="AD4" s="112"/>
      <c r="AO4" s="113"/>
      <c r="AP4" s="112"/>
      <c r="BA4" s="113"/>
    </row>
    <row r="5" spans="1:53">
      <c r="A5" s="141" t="s">
        <v>539</v>
      </c>
      <c r="B5" s="140" t="s">
        <v>540</v>
      </c>
      <c r="C5" s="142" t="s">
        <v>249</v>
      </c>
      <c r="D5" s="136">
        <v>0.4</v>
      </c>
      <c r="E5" s="137" t="s">
        <v>834</v>
      </c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12"/>
      <c r="AC5" s="113"/>
      <c r="AD5" s="112"/>
      <c r="AO5" s="113"/>
      <c r="AP5" s="112"/>
      <c r="BA5" s="113"/>
    </row>
    <row r="6" spans="1:53">
      <c r="A6" s="20" t="s">
        <v>542</v>
      </c>
      <c r="B6" s="12" t="s">
        <v>543</v>
      </c>
      <c r="C6" s="12" t="s">
        <v>544</v>
      </c>
      <c r="D6" s="131">
        <v>0.89229999999999998</v>
      </c>
      <c r="E6" s="23"/>
      <c r="F6" s="147"/>
      <c r="G6" s="148"/>
      <c r="H6" s="148"/>
      <c r="I6" s="148"/>
      <c r="J6" s="148"/>
      <c r="K6" s="148"/>
      <c r="L6" s="148"/>
      <c r="M6" s="147" t="s">
        <v>832</v>
      </c>
      <c r="N6" s="148"/>
      <c r="O6" s="148"/>
      <c r="P6" s="148"/>
      <c r="Q6" s="148"/>
      <c r="R6" s="112"/>
      <c r="AC6" s="113"/>
      <c r="AD6" s="112"/>
      <c r="AO6" s="113"/>
      <c r="AP6" s="112"/>
      <c r="BA6" s="113"/>
    </row>
    <row r="7" spans="1:53">
      <c r="A7" s="139" t="s">
        <v>423</v>
      </c>
      <c r="B7" s="140" t="s">
        <v>513</v>
      </c>
      <c r="C7" s="90" t="s">
        <v>302</v>
      </c>
      <c r="D7" s="136">
        <v>0.95469999999999999</v>
      </c>
      <c r="E7" s="138" t="s">
        <v>834</v>
      </c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12"/>
      <c r="AC7" s="113"/>
      <c r="AD7" s="112"/>
      <c r="AO7" s="113"/>
      <c r="AP7" s="112"/>
      <c r="BA7" s="113"/>
    </row>
    <row r="8" spans="1:53">
      <c r="A8" s="139" t="s">
        <v>551</v>
      </c>
      <c r="B8" s="140" t="s">
        <v>507</v>
      </c>
      <c r="C8" s="140" t="s">
        <v>552</v>
      </c>
      <c r="D8" s="136">
        <v>0.73860000000000003</v>
      </c>
      <c r="E8" s="137" t="s">
        <v>834</v>
      </c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12"/>
      <c r="AC8" s="113"/>
      <c r="AD8" s="112"/>
      <c r="AO8" s="113"/>
      <c r="AP8" s="112"/>
      <c r="BA8" s="113"/>
    </row>
    <row r="9" spans="1:53">
      <c r="A9" s="16" t="s">
        <v>555</v>
      </c>
      <c r="B9" s="12" t="s">
        <v>513</v>
      </c>
      <c r="C9" s="12" t="s">
        <v>480</v>
      </c>
      <c r="D9" s="131" t="s">
        <v>835</v>
      </c>
      <c r="E9" s="23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12"/>
      <c r="AC9" s="113"/>
      <c r="AD9" s="112"/>
      <c r="AO9" s="113"/>
      <c r="AP9" s="112"/>
      <c r="BA9" s="113"/>
    </row>
    <row r="10" spans="1:53">
      <c r="A10" s="16" t="s">
        <v>431</v>
      </c>
      <c r="B10" s="12" t="s">
        <v>510</v>
      </c>
      <c r="C10" s="12" t="s">
        <v>312</v>
      </c>
      <c r="D10" s="131">
        <v>1.11E-2</v>
      </c>
      <c r="E10" s="23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12"/>
      <c r="T10" s="125" t="s">
        <v>832</v>
      </c>
      <c r="AC10" s="113"/>
      <c r="AD10" s="112"/>
      <c r="AO10" s="113"/>
      <c r="AP10" s="112"/>
      <c r="BA10" s="113"/>
    </row>
    <row r="11" spans="1:53">
      <c r="A11" s="20" t="s">
        <v>557</v>
      </c>
      <c r="B11" s="12" t="s">
        <v>510</v>
      </c>
      <c r="C11" s="57" t="s">
        <v>274</v>
      </c>
      <c r="D11" s="131">
        <v>0.71189999999999998</v>
      </c>
      <c r="E11" s="23"/>
      <c r="F11" s="147"/>
      <c r="G11" s="147"/>
      <c r="H11" s="147"/>
      <c r="I11" s="147"/>
      <c r="J11" s="147"/>
      <c r="K11" s="147"/>
      <c r="L11" s="147" t="s">
        <v>836</v>
      </c>
      <c r="M11" s="148"/>
      <c r="N11" s="148"/>
      <c r="O11" s="148"/>
      <c r="P11" s="148"/>
      <c r="Q11" s="147" t="s">
        <v>836</v>
      </c>
      <c r="R11" s="112"/>
      <c r="X11" s="125" t="s">
        <v>836</v>
      </c>
      <c r="AC11" s="115" t="s">
        <v>836</v>
      </c>
      <c r="AD11" s="112"/>
      <c r="AJ11" s="125" t="s">
        <v>832</v>
      </c>
      <c r="AO11" s="113"/>
      <c r="AP11" s="112"/>
      <c r="BA11" s="113"/>
    </row>
    <row r="12" spans="1:53">
      <c r="A12" s="126" t="s">
        <v>559</v>
      </c>
      <c r="B12" s="12" t="s">
        <v>510</v>
      </c>
      <c r="C12" s="19" t="s">
        <v>560</v>
      </c>
      <c r="D12" s="131">
        <v>0.3478</v>
      </c>
      <c r="E12" s="19"/>
      <c r="F12" s="147"/>
      <c r="G12" s="147"/>
      <c r="H12" s="147" t="s">
        <v>836</v>
      </c>
      <c r="I12" s="147"/>
      <c r="J12" s="148"/>
      <c r="K12" s="148"/>
      <c r="L12" s="148"/>
      <c r="M12" s="148"/>
      <c r="N12" s="148" t="s">
        <v>832</v>
      </c>
      <c r="O12" s="148"/>
      <c r="P12" s="148"/>
      <c r="Q12" s="148"/>
      <c r="R12" s="112"/>
      <c r="AC12" s="113"/>
      <c r="AD12" s="112"/>
      <c r="AO12" s="113"/>
      <c r="AP12" s="112"/>
      <c r="BA12" s="113"/>
    </row>
    <row r="13" spans="1:53">
      <c r="A13" s="126" t="s">
        <v>562</v>
      </c>
      <c r="B13" s="13" t="s">
        <v>510</v>
      </c>
      <c r="C13" s="23" t="s">
        <v>276</v>
      </c>
      <c r="D13" s="131">
        <v>0.35460000000000003</v>
      </c>
      <c r="E13" s="23"/>
      <c r="F13" s="147"/>
      <c r="G13" s="147"/>
      <c r="H13" s="148"/>
      <c r="I13" s="147" t="s">
        <v>836</v>
      </c>
      <c r="J13" s="148"/>
      <c r="K13" s="148"/>
      <c r="L13" s="148"/>
      <c r="M13" s="148"/>
      <c r="N13" s="148"/>
      <c r="O13" s="147" t="s">
        <v>832</v>
      </c>
      <c r="P13" s="148"/>
      <c r="Q13" s="148"/>
      <c r="R13" s="112"/>
      <c r="AC13" s="113"/>
      <c r="AD13" s="112"/>
      <c r="AO13" s="113"/>
      <c r="AP13" s="112"/>
      <c r="BA13" s="113"/>
    </row>
    <row r="14" spans="1:53">
      <c r="A14" s="126" t="s">
        <v>564</v>
      </c>
      <c r="B14" s="12" t="s">
        <v>513</v>
      </c>
      <c r="C14" s="23" t="s">
        <v>565</v>
      </c>
      <c r="D14" s="131" t="s">
        <v>837</v>
      </c>
      <c r="E14" s="23"/>
      <c r="F14" s="148"/>
      <c r="G14" s="148"/>
      <c r="H14" s="148"/>
      <c r="I14" s="148"/>
      <c r="J14" s="148"/>
      <c r="K14" s="148"/>
      <c r="L14" s="148"/>
      <c r="M14" s="148"/>
      <c r="N14" s="147" t="s">
        <v>836</v>
      </c>
      <c r="O14" s="148"/>
      <c r="P14" s="148"/>
      <c r="Q14" s="148"/>
      <c r="R14" s="112"/>
      <c r="Z14" s="125" t="s">
        <v>832</v>
      </c>
      <c r="AC14" s="113"/>
      <c r="AD14" s="112"/>
      <c r="AO14" s="113"/>
      <c r="AP14" s="112"/>
      <c r="BA14" s="113"/>
    </row>
    <row r="15" spans="1:53">
      <c r="A15" s="143" t="s">
        <v>567</v>
      </c>
      <c r="B15" s="140" t="s">
        <v>513</v>
      </c>
      <c r="C15" s="140" t="s">
        <v>568</v>
      </c>
      <c r="D15" s="136">
        <v>0.85129999999999995</v>
      </c>
      <c r="E15" s="137" t="s">
        <v>834</v>
      </c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12"/>
      <c r="AC15" s="113"/>
      <c r="AD15" s="112"/>
      <c r="AK15" s="125" t="s">
        <v>832</v>
      </c>
      <c r="AO15" s="113"/>
      <c r="AP15" s="112"/>
      <c r="BA15" s="113"/>
    </row>
    <row r="16" spans="1:53">
      <c r="A16" s="127" t="s">
        <v>410</v>
      </c>
      <c r="B16" s="12" t="s">
        <v>513</v>
      </c>
      <c r="C16" s="12" t="s">
        <v>306</v>
      </c>
      <c r="D16" s="131" t="s">
        <v>838</v>
      </c>
      <c r="E16" s="23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7" t="s">
        <v>832</v>
      </c>
      <c r="R16" s="112"/>
      <c r="AC16" s="113"/>
      <c r="AD16" s="112"/>
      <c r="AO16" s="113"/>
      <c r="AP16" s="112"/>
      <c r="BA16" s="113"/>
    </row>
    <row r="17" spans="1:53">
      <c r="A17" s="127" t="s">
        <v>377</v>
      </c>
      <c r="B17" s="12" t="s">
        <v>513</v>
      </c>
      <c r="C17" s="12" t="s">
        <v>571</v>
      </c>
      <c r="D17" s="131">
        <v>0.50309999999999999</v>
      </c>
      <c r="E17" s="23"/>
      <c r="F17" s="147"/>
      <c r="G17" s="147"/>
      <c r="H17" s="148"/>
      <c r="I17" s="148"/>
      <c r="J17" s="148"/>
      <c r="K17" s="147" t="s">
        <v>836</v>
      </c>
      <c r="L17" s="148"/>
      <c r="M17" s="148"/>
      <c r="N17" s="148"/>
      <c r="O17" s="148"/>
      <c r="P17" s="148"/>
      <c r="Q17" s="147" t="s">
        <v>836</v>
      </c>
      <c r="R17" s="112"/>
      <c r="W17" s="125" t="s">
        <v>836</v>
      </c>
      <c r="AC17" s="115" t="s">
        <v>832</v>
      </c>
      <c r="AD17" s="112"/>
      <c r="AO17" s="113"/>
      <c r="AP17" s="112"/>
      <c r="BA17" s="113"/>
    </row>
    <row r="18" spans="1:53">
      <c r="A18" s="127" t="s">
        <v>420</v>
      </c>
      <c r="B18" s="12" t="s">
        <v>513</v>
      </c>
      <c r="C18" s="12" t="s">
        <v>280</v>
      </c>
      <c r="D18" s="131">
        <v>0.66320000000000001</v>
      </c>
      <c r="E18" s="23"/>
      <c r="F18" s="147" t="s">
        <v>836</v>
      </c>
      <c r="G18" s="147" t="s">
        <v>836</v>
      </c>
      <c r="H18" s="147" t="s">
        <v>836</v>
      </c>
      <c r="I18" s="147" t="s">
        <v>836</v>
      </c>
      <c r="J18" s="147" t="s">
        <v>836</v>
      </c>
      <c r="K18" s="147" t="s">
        <v>836</v>
      </c>
      <c r="L18" s="147" t="s">
        <v>836</v>
      </c>
      <c r="M18" s="147" t="s">
        <v>836</v>
      </c>
      <c r="N18" s="147" t="s">
        <v>836</v>
      </c>
      <c r="O18" s="147" t="s">
        <v>836</v>
      </c>
      <c r="P18" s="147" t="s">
        <v>836</v>
      </c>
      <c r="Q18" s="147" t="s">
        <v>832</v>
      </c>
      <c r="R18" s="112"/>
      <c r="AC18" s="113"/>
      <c r="AD18" s="112"/>
      <c r="AO18" s="113"/>
      <c r="AP18" s="112"/>
      <c r="BA18" s="113"/>
    </row>
    <row r="19" spans="1:53">
      <c r="A19" s="127" t="s">
        <v>574</v>
      </c>
      <c r="B19" s="12" t="s">
        <v>513</v>
      </c>
      <c r="C19" s="17" t="s">
        <v>284</v>
      </c>
      <c r="D19" s="131" t="s">
        <v>839</v>
      </c>
      <c r="E19" s="23"/>
      <c r="F19" s="148"/>
      <c r="G19" s="148"/>
      <c r="H19" s="148"/>
      <c r="I19" s="148"/>
      <c r="J19" s="148"/>
      <c r="K19" s="147" t="s">
        <v>836</v>
      </c>
      <c r="L19" s="148"/>
      <c r="M19" s="148"/>
      <c r="N19" s="148"/>
      <c r="O19" s="148"/>
      <c r="P19" s="148"/>
      <c r="Q19" s="147" t="s">
        <v>836</v>
      </c>
      <c r="R19" s="112"/>
      <c r="W19" s="125" t="s">
        <v>836</v>
      </c>
      <c r="AC19" s="115" t="s">
        <v>836</v>
      </c>
      <c r="AD19" s="112"/>
      <c r="AI19" s="125" t="s">
        <v>836</v>
      </c>
      <c r="AO19" s="115" t="s">
        <v>832</v>
      </c>
      <c r="AP19" s="112"/>
      <c r="BA19" s="113"/>
    </row>
    <row r="20" spans="1:53">
      <c r="A20" s="143" t="s">
        <v>576</v>
      </c>
      <c r="B20" s="140" t="s">
        <v>513</v>
      </c>
      <c r="C20" s="140" t="s">
        <v>577</v>
      </c>
      <c r="D20" s="136">
        <v>0.66</v>
      </c>
      <c r="E20" s="137" t="s">
        <v>834</v>
      </c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12"/>
      <c r="AC20" s="115" t="s">
        <v>832</v>
      </c>
      <c r="AD20" s="112"/>
      <c r="AO20" s="113"/>
      <c r="AP20" s="112"/>
      <c r="BA20" s="113"/>
    </row>
    <row r="21" spans="1:53">
      <c r="A21" s="127" t="s">
        <v>411</v>
      </c>
      <c r="B21" s="12" t="s">
        <v>513</v>
      </c>
      <c r="C21" s="13" t="s">
        <v>581</v>
      </c>
      <c r="D21" s="131">
        <v>0.64300000000000002</v>
      </c>
      <c r="E21" s="23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7" t="s">
        <v>832</v>
      </c>
      <c r="R21" s="112"/>
      <c r="AC21" s="113"/>
      <c r="AD21" s="112"/>
      <c r="AO21" s="113"/>
      <c r="AP21" s="112"/>
      <c r="BA21" s="113"/>
    </row>
    <row r="22" spans="1:53">
      <c r="A22" s="16" t="s">
        <v>373</v>
      </c>
      <c r="B22" s="13" t="s">
        <v>513</v>
      </c>
      <c r="C22" s="17" t="s">
        <v>583</v>
      </c>
      <c r="D22" s="131">
        <v>0.59179999999999999</v>
      </c>
      <c r="E22" s="23"/>
      <c r="F22" s="148"/>
      <c r="G22" s="147" t="s">
        <v>836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12"/>
      <c r="S22" s="125" t="s">
        <v>836</v>
      </c>
      <c r="AC22" s="113"/>
      <c r="AD22" s="112"/>
      <c r="AE22" s="125" t="s">
        <v>832</v>
      </c>
      <c r="AO22" s="113"/>
      <c r="AP22" s="112"/>
      <c r="BA22" s="113"/>
    </row>
    <row r="23" spans="1:53">
      <c r="A23" s="141" t="s">
        <v>585</v>
      </c>
      <c r="B23" s="140" t="s">
        <v>513</v>
      </c>
      <c r="C23" s="144" t="s">
        <v>243</v>
      </c>
      <c r="D23" s="136">
        <v>0.77410000000000001</v>
      </c>
      <c r="E23" s="137" t="s">
        <v>834</v>
      </c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51" t="s">
        <v>832</v>
      </c>
      <c r="R23" s="112"/>
      <c r="AC23" s="113"/>
      <c r="AD23" s="112"/>
      <c r="AO23" s="113"/>
      <c r="AP23" s="112"/>
      <c r="BA23" s="113"/>
    </row>
    <row r="24" spans="1:53">
      <c r="A24" s="16" t="s">
        <v>429</v>
      </c>
      <c r="B24" s="23" t="s">
        <v>513</v>
      </c>
      <c r="C24" s="23" t="s">
        <v>587</v>
      </c>
      <c r="D24" s="132" t="s">
        <v>840</v>
      </c>
      <c r="E24" s="23"/>
      <c r="F24" s="147" t="s">
        <v>836</v>
      </c>
      <c r="G24" s="148"/>
      <c r="H24" s="148"/>
      <c r="I24" s="147" t="s">
        <v>836</v>
      </c>
      <c r="J24" s="148"/>
      <c r="K24" s="148"/>
      <c r="L24" s="147" t="s">
        <v>836</v>
      </c>
      <c r="M24" s="148"/>
      <c r="N24" s="148"/>
      <c r="O24" s="147" t="s">
        <v>836</v>
      </c>
      <c r="P24" s="148"/>
      <c r="Q24" s="147" t="s">
        <v>832</v>
      </c>
      <c r="R24" s="112"/>
      <c r="AC24" s="113"/>
      <c r="AD24" s="112"/>
      <c r="AO24" s="113"/>
      <c r="AP24" s="112"/>
      <c r="BA24" s="113"/>
    </row>
    <row r="25" spans="1:53">
      <c r="A25" s="16" t="s">
        <v>424</v>
      </c>
      <c r="B25" s="12" t="s">
        <v>513</v>
      </c>
      <c r="C25" s="12" t="s">
        <v>321</v>
      </c>
      <c r="D25" s="131">
        <v>0.96350000000000002</v>
      </c>
      <c r="E25" s="23"/>
      <c r="F25" s="148"/>
      <c r="G25" s="148"/>
      <c r="H25" s="148"/>
      <c r="I25" s="148"/>
      <c r="J25" s="147" t="s">
        <v>836</v>
      </c>
      <c r="K25" s="148"/>
      <c r="L25" s="148"/>
      <c r="M25" s="147" t="s">
        <v>836</v>
      </c>
      <c r="N25" s="148"/>
      <c r="O25" s="148"/>
      <c r="P25" s="148"/>
      <c r="Q25" s="147" t="s">
        <v>832</v>
      </c>
      <c r="R25" s="112"/>
      <c r="AC25" s="113"/>
      <c r="AD25" s="112"/>
      <c r="AO25" s="113"/>
      <c r="AP25" s="112"/>
      <c r="BA25" s="113"/>
    </row>
    <row r="26" spans="1:53">
      <c r="A26" s="143" t="s">
        <v>422</v>
      </c>
      <c r="B26" s="140" t="s">
        <v>513</v>
      </c>
      <c r="C26" s="140" t="s">
        <v>590</v>
      </c>
      <c r="D26" s="136" t="s">
        <v>841</v>
      </c>
      <c r="E26" s="137" t="s">
        <v>834</v>
      </c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12"/>
      <c r="AC26" s="115" t="s">
        <v>832</v>
      </c>
      <c r="AD26" s="112"/>
      <c r="AO26" s="113"/>
      <c r="AP26" s="112"/>
      <c r="BA26" s="113"/>
    </row>
    <row r="27" spans="1:53">
      <c r="A27" s="20" t="s">
        <v>592</v>
      </c>
      <c r="B27" s="13" t="s">
        <v>513</v>
      </c>
      <c r="C27" s="87" t="s">
        <v>593</v>
      </c>
      <c r="D27" s="131">
        <v>7.5700000000000003E-2</v>
      </c>
      <c r="E27" s="23"/>
      <c r="F27" s="148"/>
      <c r="G27" s="148"/>
      <c r="H27" s="148"/>
      <c r="I27" s="148"/>
      <c r="J27" s="148"/>
      <c r="K27" s="148"/>
      <c r="L27" s="147" t="s">
        <v>836</v>
      </c>
      <c r="M27" s="148"/>
      <c r="N27" s="148"/>
      <c r="O27" s="148"/>
      <c r="P27" s="148"/>
      <c r="Q27" s="147" t="s">
        <v>836</v>
      </c>
      <c r="R27" s="112"/>
      <c r="X27" s="125" t="s">
        <v>836</v>
      </c>
      <c r="AC27" s="115" t="s">
        <v>836</v>
      </c>
      <c r="AD27" s="112"/>
      <c r="AJ27" s="125" t="s">
        <v>836</v>
      </c>
      <c r="AO27" s="115" t="s">
        <v>832</v>
      </c>
      <c r="AP27" s="112"/>
      <c r="BA27" s="113"/>
    </row>
    <row r="28" spans="1:53">
      <c r="A28" s="141" t="s">
        <v>396</v>
      </c>
      <c r="B28" s="140" t="s">
        <v>513</v>
      </c>
      <c r="C28" s="140" t="s">
        <v>595</v>
      </c>
      <c r="D28" s="136">
        <v>0.46920000000000001</v>
      </c>
      <c r="E28" s="137" t="s">
        <v>834</v>
      </c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12"/>
      <c r="AC28" s="113"/>
      <c r="AD28" s="112"/>
      <c r="AO28" s="113"/>
      <c r="AP28" s="114" t="s">
        <v>832</v>
      </c>
      <c r="BA28" s="113"/>
    </row>
    <row r="29" spans="1:53">
      <c r="A29" s="139" t="s">
        <v>427</v>
      </c>
      <c r="B29" s="140" t="s">
        <v>513</v>
      </c>
      <c r="C29" s="90" t="s">
        <v>323</v>
      </c>
      <c r="D29" s="135" t="s">
        <v>842</v>
      </c>
      <c r="E29" s="137" t="s">
        <v>834</v>
      </c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12"/>
      <c r="AC29" s="113"/>
      <c r="AD29" s="112"/>
      <c r="AO29" s="113"/>
      <c r="AP29" s="112"/>
      <c r="BA29" s="113"/>
    </row>
    <row r="30" spans="1:53">
      <c r="A30" s="20" t="s">
        <v>597</v>
      </c>
      <c r="B30" s="12" t="s">
        <v>513</v>
      </c>
      <c r="C30" s="21" t="s">
        <v>325</v>
      </c>
      <c r="D30" s="133">
        <v>0.86609999999999998</v>
      </c>
      <c r="E30" s="19"/>
      <c r="F30" s="148"/>
      <c r="G30" s="148"/>
      <c r="H30" s="148"/>
      <c r="I30" s="148"/>
      <c r="J30" s="148"/>
      <c r="K30" s="147" t="s">
        <v>836</v>
      </c>
      <c r="L30" s="148"/>
      <c r="M30" s="148"/>
      <c r="N30" s="147" t="s">
        <v>836</v>
      </c>
      <c r="O30" s="148"/>
      <c r="P30" s="148"/>
      <c r="Q30" s="147" t="s">
        <v>832</v>
      </c>
      <c r="R30" s="112"/>
      <c r="AC30" s="113"/>
      <c r="AD30" s="112"/>
      <c r="AO30" s="113"/>
      <c r="AP30" s="112"/>
      <c r="BA30" s="113"/>
    </row>
    <row r="31" spans="1:53">
      <c r="A31" s="20" t="s">
        <v>599</v>
      </c>
      <c r="B31" s="12" t="s">
        <v>513</v>
      </c>
      <c r="C31" s="21" t="s">
        <v>679</v>
      </c>
      <c r="D31" s="131">
        <v>0.57020000000000004</v>
      </c>
      <c r="E31" s="23"/>
      <c r="F31" s="147" t="s">
        <v>836</v>
      </c>
      <c r="G31" s="147" t="s">
        <v>836</v>
      </c>
      <c r="H31" s="147" t="s">
        <v>836</v>
      </c>
      <c r="I31" s="147" t="s">
        <v>836</v>
      </c>
      <c r="J31" s="147" t="s">
        <v>836</v>
      </c>
      <c r="K31" s="147" t="s">
        <v>836</v>
      </c>
      <c r="L31" s="147" t="s">
        <v>836</v>
      </c>
      <c r="M31" s="147" t="s">
        <v>836</v>
      </c>
      <c r="N31" s="147" t="s">
        <v>836</v>
      </c>
      <c r="O31" s="147" t="s">
        <v>836</v>
      </c>
      <c r="P31" s="147" t="s">
        <v>836</v>
      </c>
      <c r="Q31" s="147" t="s">
        <v>832</v>
      </c>
      <c r="R31" s="112"/>
      <c r="AC31" s="113"/>
      <c r="AD31" s="112"/>
      <c r="AO31" s="113"/>
      <c r="AP31" s="112"/>
      <c r="BA31" s="113"/>
    </row>
    <row r="32" spans="1:53" ht="15">
      <c r="A32" s="141" t="s">
        <v>418</v>
      </c>
      <c r="B32" s="140" t="s">
        <v>504</v>
      </c>
      <c r="C32" s="140" t="s">
        <v>127</v>
      </c>
      <c r="D32" s="136">
        <v>0.79</v>
      </c>
      <c r="E32" s="137" t="s">
        <v>834</v>
      </c>
      <c r="F32" s="146"/>
      <c r="G32" s="146"/>
      <c r="H32" s="146"/>
      <c r="I32" s="146"/>
      <c r="J32" s="150" t="s">
        <v>836</v>
      </c>
      <c r="K32" s="146"/>
      <c r="L32" s="146"/>
      <c r="M32" s="150" t="s">
        <v>836</v>
      </c>
      <c r="N32" s="146"/>
      <c r="O32" s="146"/>
      <c r="P32" s="150" t="s">
        <v>836</v>
      </c>
      <c r="Q32" s="146"/>
      <c r="R32" s="112"/>
      <c r="S32" s="128" t="s">
        <v>832</v>
      </c>
      <c r="AC32" s="113"/>
      <c r="AD32" s="112"/>
      <c r="AO32" s="113"/>
      <c r="AP32" s="112"/>
      <c r="BA32" s="113"/>
    </row>
    <row r="33" spans="1:53">
      <c r="A33" s="141" t="s">
        <v>603</v>
      </c>
      <c r="B33" s="140" t="s">
        <v>531</v>
      </c>
      <c r="C33" s="140" t="s">
        <v>604</v>
      </c>
      <c r="D33" s="135" t="s">
        <v>842</v>
      </c>
      <c r="E33" s="137" t="s">
        <v>834</v>
      </c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12"/>
      <c r="AC33" s="113"/>
      <c r="AD33" s="112"/>
      <c r="AO33" s="113"/>
      <c r="AP33" s="112"/>
      <c r="BA33" s="113"/>
    </row>
    <row r="34" spans="1:53">
      <c r="A34" s="141" t="s">
        <v>606</v>
      </c>
      <c r="B34" s="144" t="s">
        <v>531</v>
      </c>
      <c r="C34" s="140" t="s">
        <v>607</v>
      </c>
      <c r="D34" s="136">
        <v>0.71</v>
      </c>
      <c r="E34" s="137" t="s">
        <v>834</v>
      </c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12"/>
      <c r="AC34" s="113"/>
      <c r="AD34" s="112"/>
      <c r="AO34" s="113"/>
      <c r="AP34" s="112"/>
      <c r="BA34" s="113"/>
    </row>
    <row r="35" spans="1:53">
      <c r="A35" s="141" t="s">
        <v>614</v>
      </c>
      <c r="B35" s="144" t="s">
        <v>531</v>
      </c>
      <c r="C35" s="140" t="s">
        <v>615</v>
      </c>
      <c r="D35" s="136">
        <v>0.56459999999999999</v>
      </c>
      <c r="E35" s="137" t="s">
        <v>834</v>
      </c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12"/>
      <c r="AC35" s="113"/>
      <c r="AD35" s="112"/>
      <c r="AO35" s="113"/>
      <c r="AP35" s="112"/>
      <c r="BA35" s="113"/>
    </row>
    <row r="36" spans="1:53">
      <c r="A36" s="143" t="s">
        <v>388</v>
      </c>
      <c r="B36" s="144" t="s">
        <v>504</v>
      </c>
      <c r="C36" s="140" t="s">
        <v>617</v>
      </c>
      <c r="D36" s="136">
        <v>0.75</v>
      </c>
      <c r="E36" s="137" t="s">
        <v>834</v>
      </c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12"/>
      <c r="AC36" s="115" t="s">
        <v>832</v>
      </c>
      <c r="AD36" s="112"/>
      <c r="AO36" s="113"/>
      <c r="AP36" s="112"/>
      <c r="BA36" s="113"/>
    </row>
    <row r="37" spans="1:53">
      <c r="A37" s="143" t="s">
        <v>621</v>
      </c>
      <c r="B37" s="144" t="s">
        <v>531</v>
      </c>
      <c r="C37" s="140" t="s">
        <v>266</v>
      </c>
      <c r="D37" s="136">
        <v>0.97019999999999995</v>
      </c>
      <c r="E37" s="137" t="s">
        <v>834</v>
      </c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12"/>
      <c r="V37" s="125" t="s">
        <v>832</v>
      </c>
      <c r="AC37" s="113"/>
      <c r="AD37" s="112"/>
      <c r="AO37" s="113"/>
      <c r="AP37" s="112"/>
      <c r="BA37" s="113"/>
    </row>
    <row r="38" spans="1:53">
      <c r="A38" s="126" t="s">
        <v>425</v>
      </c>
      <c r="B38" s="12" t="s">
        <v>516</v>
      </c>
      <c r="C38" s="12" t="s">
        <v>272</v>
      </c>
      <c r="D38" s="131">
        <v>0.35770000000000002</v>
      </c>
      <c r="E38" s="23"/>
      <c r="F38" s="148"/>
      <c r="G38" s="148"/>
      <c r="H38" s="148"/>
      <c r="I38" s="148"/>
      <c r="J38" s="147" t="s">
        <v>836</v>
      </c>
      <c r="K38" s="148"/>
      <c r="L38" s="148"/>
      <c r="M38" s="148"/>
      <c r="N38" s="148"/>
      <c r="O38" s="148"/>
      <c r="P38" s="147" t="s">
        <v>836</v>
      </c>
      <c r="Q38" s="148"/>
      <c r="R38" s="112"/>
      <c r="V38" s="125" t="s">
        <v>836</v>
      </c>
      <c r="AB38" s="125" t="s">
        <v>836</v>
      </c>
      <c r="AC38" s="113"/>
      <c r="AD38" s="112"/>
      <c r="AH38" s="125" t="s">
        <v>836</v>
      </c>
      <c r="AN38" s="125" t="s">
        <v>832</v>
      </c>
      <c r="AO38" s="113"/>
      <c r="AP38" s="112"/>
      <c r="BA38" s="113"/>
    </row>
    <row r="39" spans="1:53">
      <c r="A39" s="139" t="s">
        <v>624</v>
      </c>
      <c r="B39" s="144" t="s">
        <v>625</v>
      </c>
      <c r="C39" s="140" t="s">
        <v>626</v>
      </c>
      <c r="D39" s="136">
        <v>0.75190000000000001</v>
      </c>
      <c r="E39" s="137" t="s">
        <v>834</v>
      </c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12"/>
      <c r="AC39" s="113"/>
      <c r="AD39" s="112"/>
      <c r="AO39" s="113"/>
      <c r="AP39" s="114"/>
      <c r="AY39" t="s">
        <v>832</v>
      </c>
      <c r="BA39" s="113"/>
    </row>
    <row r="40" spans="1:53">
      <c r="A40" s="106" t="s">
        <v>414</v>
      </c>
      <c r="B40" s="144" t="s">
        <v>628</v>
      </c>
      <c r="C40" s="140" t="s">
        <v>629</v>
      </c>
      <c r="D40" s="136">
        <v>0.76739999999999997</v>
      </c>
      <c r="E40" s="137" t="s">
        <v>834</v>
      </c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12"/>
      <c r="AC40" s="113"/>
      <c r="AD40" s="112"/>
      <c r="AM40" s="125" t="s">
        <v>832</v>
      </c>
      <c r="AO40" s="113"/>
      <c r="AP40" s="112"/>
      <c r="BA40" s="113"/>
    </row>
    <row r="41" spans="1:53">
      <c r="A41" s="139" t="s">
        <v>415</v>
      </c>
      <c r="B41" s="144" t="s">
        <v>631</v>
      </c>
      <c r="C41" s="90" t="s">
        <v>632</v>
      </c>
      <c r="D41" s="135">
        <v>0.93600000000000005</v>
      </c>
      <c r="E41" s="137" t="s">
        <v>834</v>
      </c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14" t="s">
        <v>832</v>
      </c>
      <c r="AC41" s="113"/>
      <c r="AD41" s="112"/>
      <c r="AO41" s="113"/>
      <c r="AP41" s="112"/>
      <c r="BA41" s="113"/>
    </row>
    <row r="42" spans="1:53">
      <c r="A42" s="20" t="s">
        <v>634</v>
      </c>
      <c r="B42" s="13" t="s">
        <v>635</v>
      </c>
      <c r="C42" s="21" t="s">
        <v>327</v>
      </c>
      <c r="D42" s="131">
        <v>0.59199999999999997</v>
      </c>
      <c r="E42" s="23"/>
      <c r="F42" s="148"/>
      <c r="G42" s="148"/>
      <c r="H42" s="148"/>
      <c r="I42" s="148"/>
      <c r="J42" s="148"/>
      <c r="K42" s="147" t="s">
        <v>836</v>
      </c>
      <c r="L42" s="148"/>
      <c r="M42" s="148"/>
      <c r="N42" s="148"/>
      <c r="O42" s="148"/>
      <c r="P42" s="148"/>
      <c r="Q42" s="147" t="s">
        <v>836</v>
      </c>
      <c r="R42" s="112"/>
      <c r="W42" s="125" t="s">
        <v>836</v>
      </c>
      <c r="AC42" s="115" t="s">
        <v>832</v>
      </c>
      <c r="AD42" s="112"/>
      <c r="AO42" s="113"/>
      <c r="AP42" s="112"/>
      <c r="BA42" s="113"/>
    </row>
    <row r="43" spans="1:53">
      <c r="A43" s="139" t="s">
        <v>640</v>
      </c>
      <c r="B43" s="144" t="s">
        <v>641</v>
      </c>
      <c r="C43" s="90" t="s">
        <v>317</v>
      </c>
      <c r="D43" s="136" t="s">
        <v>842</v>
      </c>
      <c r="E43" s="137" t="s">
        <v>834</v>
      </c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12"/>
      <c r="AC43" s="113"/>
      <c r="AD43" s="112"/>
      <c r="AO43" s="113"/>
      <c r="AP43" s="112"/>
      <c r="BA43" s="113"/>
    </row>
    <row r="44" spans="1:53">
      <c r="A44" s="139" t="s">
        <v>643</v>
      </c>
      <c r="B44" s="144" t="s">
        <v>644</v>
      </c>
      <c r="C44" s="140" t="s">
        <v>645</v>
      </c>
      <c r="D44" s="136">
        <v>0.35770000000000002</v>
      </c>
      <c r="E44" s="137" t="s">
        <v>834</v>
      </c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12"/>
      <c r="AC44" s="113"/>
      <c r="AD44" s="112"/>
      <c r="AO44" s="113"/>
      <c r="AP44" s="112"/>
      <c r="BA44" s="113"/>
    </row>
    <row r="45" spans="1:53">
      <c r="A45" s="145" t="s">
        <v>654</v>
      </c>
      <c r="B45" s="144" t="s">
        <v>516</v>
      </c>
      <c r="C45" s="91" t="s">
        <v>843</v>
      </c>
      <c r="D45" s="136">
        <v>0.90010000000000001</v>
      </c>
      <c r="E45" s="137" t="s">
        <v>842</v>
      </c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12"/>
      <c r="AC45" s="113"/>
      <c r="AD45" s="112"/>
      <c r="AO45" s="113"/>
      <c r="AP45" s="112"/>
      <c r="BA45" s="113"/>
    </row>
    <row r="46" spans="1:53">
      <c r="A46" s="320" t="s">
        <v>428</v>
      </c>
      <c r="B46" s="55" t="s">
        <v>516</v>
      </c>
      <c r="C46" s="566" t="s">
        <v>658</v>
      </c>
      <c r="D46" s="192">
        <v>0.55059999999999998</v>
      </c>
      <c r="E46" s="23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12"/>
      <c r="AC46" s="113"/>
      <c r="AD46" s="112"/>
      <c r="AO46" s="113"/>
      <c r="AP46" s="112"/>
      <c r="BA46" s="113"/>
    </row>
    <row r="47" spans="1:53">
      <c r="A47" s="320" t="s">
        <v>662</v>
      </c>
      <c r="B47" s="55" t="s">
        <v>513</v>
      </c>
      <c r="C47" s="198" t="s">
        <v>663</v>
      </c>
      <c r="D47" s="192">
        <v>0.47460000000000002</v>
      </c>
      <c r="E47" s="23"/>
      <c r="F47" s="562"/>
      <c r="G47" s="562"/>
      <c r="H47" s="562"/>
      <c r="I47" s="562"/>
      <c r="J47" s="562"/>
      <c r="K47" s="562"/>
      <c r="L47" s="562"/>
      <c r="M47" s="562"/>
      <c r="N47" s="562"/>
      <c r="O47" s="562"/>
      <c r="P47" s="562"/>
      <c r="Q47" s="562"/>
      <c r="R47" s="563"/>
      <c r="S47" s="564"/>
      <c r="T47" s="564"/>
      <c r="U47" s="564"/>
      <c r="V47" s="564"/>
      <c r="W47" s="564"/>
      <c r="X47" s="564"/>
      <c r="Y47" s="564"/>
      <c r="Z47" s="564"/>
      <c r="AA47" s="564"/>
      <c r="AB47" s="564"/>
      <c r="AC47" s="565"/>
      <c r="AD47" s="563"/>
      <c r="AE47" s="564"/>
      <c r="AF47" s="564"/>
      <c r="AG47" s="564"/>
      <c r="AH47" s="564"/>
      <c r="AI47" s="564"/>
      <c r="AJ47" s="564"/>
      <c r="AK47" s="564"/>
      <c r="AL47" s="564"/>
      <c r="AM47" s="564"/>
      <c r="AN47" s="564"/>
      <c r="AO47" s="565"/>
      <c r="AP47" s="563"/>
      <c r="AQ47" s="564"/>
      <c r="AR47" s="564"/>
      <c r="AS47" s="564"/>
      <c r="AT47" s="564"/>
      <c r="AU47" s="564"/>
      <c r="AV47" s="564"/>
      <c r="AW47" s="564"/>
      <c r="AX47" s="564"/>
      <c r="AY47" s="564"/>
      <c r="AZ47" s="564"/>
      <c r="BA47" s="565"/>
    </row>
    <row r="48" spans="1:53">
      <c r="A48" s="320" t="s">
        <v>780</v>
      </c>
      <c r="B48" s="55" t="s">
        <v>510</v>
      </c>
      <c r="C48" s="78" t="s">
        <v>781</v>
      </c>
      <c r="D48" s="192">
        <v>1E-4</v>
      </c>
      <c r="E48" s="23"/>
      <c r="F48" s="562"/>
      <c r="G48" s="562"/>
      <c r="H48" s="562"/>
      <c r="I48" s="562"/>
      <c r="J48" s="562"/>
      <c r="K48" s="562"/>
      <c r="L48" s="562"/>
      <c r="M48" s="562"/>
      <c r="N48" s="562"/>
      <c r="O48" s="562"/>
      <c r="P48" s="562"/>
      <c r="Q48" s="562"/>
      <c r="R48" s="563"/>
      <c r="S48" s="564"/>
      <c r="T48" s="564"/>
      <c r="U48" s="564"/>
      <c r="V48" s="564"/>
      <c r="W48" s="564"/>
      <c r="X48" s="564"/>
      <c r="Y48" s="564"/>
      <c r="Z48" s="564"/>
      <c r="AA48" s="564"/>
      <c r="AB48" s="564"/>
      <c r="AC48" s="565"/>
      <c r="AD48" s="563"/>
      <c r="AE48" s="564"/>
      <c r="AF48" s="564"/>
      <c r="AG48" s="564"/>
      <c r="AH48" s="564"/>
      <c r="AI48" s="564"/>
      <c r="AJ48" s="564"/>
      <c r="AK48" s="564"/>
      <c r="AL48" s="564"/>
      <c r="AM48" s="564"/>
      <c r="AN48" s="564"/>
      <c r="AO48" s="565"/>
      <c r="AP48" s="563"/>
      <c r="AQ48" s="564"/>
      <c r="AR48" s="564"/>
      <c r="AS48" s="564"/>
      <c r="AT48" s="564"/>
      <c r="AU48" s="564"/>
      <c r="AV48" s="564"/>
      <c r="AW48" s="564"/>
      <c r="AX48" s="564"/>
      <c r="AY48" s="564"/>
      <c r="AZ48" s="564"/>
      <c r="BA48" s="565"/>
    </row>
    <row r="49" spans="1:53">
      <c r="A49" s="127"/>
      <c r="B49" s="560"/>
      <c r="C49" s="559"/>
      <c r="D49" s="561"/>
      <c r="E49" s="23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3"/>
      <c r="S49" s="564"/>
      <c r="T49" s="564"/>
      <c r="U49" s="564"/>
      <c r="V49" s="564"/>
      <c r="W49" s="564"/>
      <c r="X49" s="564"/>
      <c r="Y49" s="564"/>
      <c r="Z49" s="564"/>
      <c r="AA49" s="564"/>
      <c r="AB49" s="564"/>
      <c r="AC49" s="565"/>
      <c r="AD49" s="563"/>
      <c r="AE49" s="564"/>
      <c r="AF49" s="564"/>
      <c r="AG49" s="564"/>
      <c r="AH49" s="564"/>
      <c r="AI49" s="564"/>
      <c r="AJ49" s="564"/>
      <c r="AK49" s="564"/>
      <c r="AL49" s="564"/>
      <c r="AM49" s="564"/>
      <c r="AN49" s="564"/>
      <c r="AO49" s="565"/>
      <c r="AP49" s="563"/>
      <c r="AQ49" s="564"/>
      <c r="AR49" s="564"/>
      <c r="AS49" s="564"/>
      <c r="AT49" s="564"/>
      <c r="AU49" s="564"/>
      <c r="AV49" s="564"/>
      <c r="AW49" s="564"/>
      <c r="AX49" s="564"/>
      <c r="AY49" s="564"/>
      <c r="AZ49" s="564"/>
      <c r="BA49" s="565"/>
    </row>
    <row r="50" spans="1:53">
      <c r="A50" s="84"/>
      <c r="B50" s="116"/>
      <c r="C50" s="116"/>
      <c r="D50" s="134"/>
      <c r="E50" s="129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4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7"/>
      <c r="AD50" s="84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7"/>
      <c r="AP50" s="84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7"/>
    </row>
  </sheetData>
  <sheetProtection algorithmName="SHA-512" hashValue="EvPuYfndxizvgCdSsKI+ppaNCWylLF9ShiNWr6Yj9V3dIoyo/tsnYxejHrIQmNAhPbYhSPvUB8ZI03amBB4/Tw==" saltValue="AEU5EYQAeKvcDR5stPwBug==" spinCount="100000" sheet="1" objects="1" scenarios="1" autoFilter="0"/>
  <mergeCells count="4">
    <mergeCell ref="F1:Q1"/>
    <mergeCell ref="R1:AC1"/>
    <mergeCell ref="AD1:AO1"/>
    <mergeCell ref="AP1:BA1"/>
  </mergeCells>
  <conditionalFormatting sqref="A3:A11 B3:C12 B41:C45">
    <cfRule type="expression" dxfId="160" priority="4">
      <formula>#REF!="CLOSED"</formula>
    </cfRule>
  </conditionalFormatting>
  <conditionalFormatting sqref="B13:B14 B15:C19 B20:B23 B25:C25 A26:C26 C27 C29:C40 B38 A41:A42">
    <cfRule type="expression" dxfId="159" priority="6">
      <formula>#REF!="CLOSED"</formula>
    </cfRule>
  </conditionalFormatting>
  <conditionalFormatting sqref="C20">
    <cfRule type="expression" dxfId="158" priority="5">
      <formula>#REF!="CLOSED"</formula>
    </cfRule>
  </conditionalFormatting>
  <conditionalFormatting sqref="B46:C46">
    <cfRule type="expression" dxfId="157" priority="3">
      <formula>$C46="CLOSED"</formula>
    </cfRule>
  </conditionalFormatting>
  <conditionalFormatting sqref="B47:C47">
    <cfRule type="expression" dxfId="156" priority="2">
      <formula>$C47="CLOSED"</formula>
    </cfRule>
  </conditionalFormatting>
  <conditionalFormatting sqref="A48:B48">
    <cfRule type="expression" dxfId="155" priority="1">
      <formula>$C48="CLOSED"</formula>
    </cfRule>
  </conditionalFormatting>
  <dataValidations count="2">
    <dataValidation allowBlank="1" showInputMessage="1" showErrorMessage="1" sqref="B3:B23 B25:B49" xr:uid="{907B6CEA-D31C-BD48-B23F-F9C820BF69C5}"/>
    <dataValidation type="list" allowBlank="1" showInputMessage="1" showErrorMessage="1" sqref="B46:B48" xr:uid="{922B54DC-72D1-124B-8134-332680A666CB}">
      <formula1>#REF!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83CA-3DCB-7D48-B19A-17216779F417}">
  <dimension ref="A1:O642"/>
  <sheetViews>
    <sheetView showGridLines="0" zoomScale="80" zoomScaleNormal="80" workbookViewId="0">
      <selection activeCell="D640" sqref="D640"/>
    </sheetView>
  </sheetViews>
  <sheetFormatPr defaultColWidth="8.69921875" defaultRowHeight="13.8"/>
  <cols>
    <col min="1" max="1" width="2.69921875" style="72" customWidth="1"/>
    <col min="2" max="2" width="13.69921875" style="72" customWidth="1"/>
    <col min="3" max="3" width="13" style="72" customWidth="1"/>
    <col min="4" max="4" width="100.69921875" style="7" customWidth="1"/>
    <col min="5" max="5" width="20.09765625" style="7" customWidth="1"/>
    <col min="6" max="6" width="11.09765625" style="73" customWidth="1"/>
    <col min="7" max="7" width="15" style="72" bestFit="1" customWidth="1"/>
    <col min="8" max="8" width="13" style="72" bestFit="1" customWidth="1"/>
    <col min="9" max="9" width="25.69921875" style="331" customWidth="1"/>
    <col min="10" max="10" width="16.09765625" style="72" bestFit="1" customWidth="1"/>
    <col min="11" max="11" width="48.69921875" style="73" bestFit="1" customWidth="1"/>
    <col min="12" max="12" width="10.09765625" style="7" bestFit="1" customWidth="1"/>
    <col min="13" max="13" width="50.69921875" style="72" customWidth="1"/>
    <col min="14" max="16384" width="8.69921875" style="72"/>
  </cols>
  <sheetData>
    <row r="1" spans="2:15" ht="8.25" customHeight="1"/>
    <row r="2" spans="2:15">
      <c r="B2" t="s">
        <v>844</v>
      </c>
      <c r="C2" s="32" t="s">
        <v>845</v>
      </c>
      <c r="I2" s="332"/>
    </row>
    <row r="3" spans="2:15">
      <c r="B3" t="s">
        <v>846</v>
      </c>
      <c r="C3" t="s">
        <v>847</v>
      </c>
      <c r="H3" s="81"/>
      <c r="K3" s="80"/>
      <c r="L3" s="439"/>
    </row>
    <row r="4" spans="2:15">
      <c r="B4" t="s">
        <v>848</v>
      </c>
      <c r="C4" s="3">
        <v>2026</v>
      </c>
      <c r="F4" s="95"/>
    </row>
    <row r="5" spans="2:15" ht="12" customHeight="1">
      <c r="I5" s="333"/>
    </row>
    <row r="6" spans="2:15" customFormat="1" ht="27.6">
      <c r="B6" s="443" t="s">
        <v>0</v>
      </c>
      <c r="C6" s="444" t="s">
        <v>4</v>
      </c>
      <c r="D6" s="445" t="s">
        <v>3</v>
      </c>
      <c r="E6" s="445" t="s">
        <v>849</v>
      </c>
      <c r="F6" s="446" t="s">
        <v>338</v>
      </c>
      <c r="G6" s="444" t="s">
        <v>367</v>
      </c>
      <c r="H6" s="444" t="s">
        <v>848</v>
      </c>
      <c r="I6" s="447" t="s">
        <v>850</v>
      </c>
      <c r="J6" s="444" t="s">
        <v>340</v>
      </c>
      <c r="K6" s="444" t="s">
        <v>851</v>
      </c>
      <c r="L6" s="440" t="s">
        <v>852</v>
      </c>
      <c r="M6" s="49" t="s">
        <v>853</v>
      </c>
      <c r="N6" s="308" t="s">
        <v>372</v>
      </c>
      <c r="O6" s="308" t="s">
        <v>854</v>
      </c>
    </row>
    <row r="7" spans="2:15" customFormat="1" ht="14.4">
      <c r="B7" s="448"/>
      <c r="C7" s="377"/>
      <c r="D7" s="378"/>
      <c r="E7" s="380"/>
      <c r="F7" s="379"/>
      <c r="G7" s="380"/>
      <c r="H7" s="424"/>
      <c r="I7" s="434"/>
      <c r="J7" s="381"/>
      <c r="K7" s="382">
        <v>0</v>
      </c>
      <c r="L7" s="449"/>
      <c r="M7" s="450" t="s">
        <v>855</v>
      </c>
      <c r="N7" s="97">
        <v>2026</v>
      </c>
      <c r="O7" s="258"/>
    </row>
    <row r="8" spans="2:15" customFormat="1">
      <c r="B8" s="104"/>
      <c r="C8" s="383" t="s">
        <v>373</v>
      </c>
      <c r="D8" s="378" t="e" cm="1">
        <f t="array" aca="1" ref="D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8" s="99" t="s">
        <v>382</v>
      </c>
      <c r="F8" s="104" t="s">
        <v>350</v>
      </c>
      <c r="G8" s="99" t="s">
        <v>856</v>
      </c>
      <c r="H8" s="426" t="s">
        <v>342</v>
      </c>
      <c r="I8" s="435">
        <f>851433857+12333257</f>
        <v>863767114</v>
      </c>
      <c r="J8" s="153" t="s">
        <v>349</v>
      </c>
      <c r="K8" s="384" t="s">
        <v>857</v>
      </c>
      <c r="L8" s="412" t="s">
        <v>858</v>
      </c>
      <c r="M8" s="97"/>
      <c r="N8" s="97">
        <v>2026</v>
      </c>
      <c r="O8" s="258"/>
    </row>
    <row r="9" spans="2:15" customFormat="1">
      <c r="B9" s="104"/>
      <c r="C9" s="383" t="s">
        <v>373</v>
      </c>
      <c r="D9" s="378" t="e" cm="1">
        <f t="array" aca="1" ref="D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9" s="99" t="s">
        <v>382</v>
      </c>
      <c r="F9" s="104" t="s">
        <v>350</v>
      </c>
      <c r="G9" s="99" t="s">
        <v>856</v>
      </c>
      <c r="H9" s="426" t="s">
        <v>345</v>
      </c>
      <c r="I9" s="435">
        <f>862153641+11055476</f>
        <v>873209117</v>
      </c>
      <c r="J9" s="153" t="s">
        <v>349</v>
      </c>
      <c r="K9" s="384" t="s">
        <v>857</v>
      </c>
      <c r="L9" s="412" t="s">
        <v>858</v>
      </c>
      <c r="M9" s="97"/>
      <c r="N9" s="97">
        <v>2026</v>
      </c>
      <c r="O9" s="258"/>
    </row>
    <row r="10" spans="2:15" customFormat="1">
      <c r="B10" s="104"/>
      <c r="C10" s="383" t="s">
        <v>373</v>
      </c>
      <c r="D10" s="378" t="e" cm="1">
        <f t="array" aca="1" ref="D1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0" s="99" t="s">
        <v>382</v>
      </c>
      <c r="F10" s="104" t="s">
        <v>350</v>
      </c>
      <c r="G10" s="99" t="s">
        <v>856</v>
      </c>
      <c r="H10" s="426" t="s">
        <v>348</v>
      </c>
      <c r="I10" s="435">
        <f>869057456-10926705</f>
        <v>858130751</v>
      </c>
      <c r="J10" s="153" t="s">
        <v>349</v>
      </c>
      <c r="K10" s="384" t="s">
        <v>857</v>
      </c>
      <c r="L10" s="412" t="s">
        <v>858</v>
      </c>
      <c r="M10" s="97"/>
      <c r="N10" s="97">
        <v>2026</v>
      </c>
      <c r="O10" s="258"/>
    </row>
    <row r="11" spans="2:15" customFormat="1">
      <c r="B11" s="104"/>
      <c r="C11" s="383" t="s">
        <v>373</v>
      </c>
      <c r="D11" s="378" t="e" cm="1">
        <f t="array" aca="1" ref="D1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1" s="99" t="s">
        <v>859</v>
      </c>
      <c r="F11" s="104" t="s">
        <v>350</v>
      </c>
      <c r="G11" s="99" t="s">
        <v>856</v>
      </c>
      <c r="H11" s="426" t="s">
        <v>348</v>
      </c>
      <c r="I11" s="435">
        <v>115194767</v>
      </c>
      <c r="J11" s="153" t="s">
        <v>349</v>
      </c>
      <c r="K11" s="384" t="s">
        <v>857</v>
      </c>
      <c r="L11" s="412" t="s">
        <v>860</v>
      </c>
      <c r="M11" s="97"/>
      <c r="N11" s="97">
        <v>2026</v>
      </c>
      <c r="O11" s="258"/>
    </row>
    <row r="12" spans="2:15" customFormat="1">
      <c r="B12" s="104"/>
      <c r="C12" s="383" t="s">
        <v>373</v>
      </c>
      <c r="D12" s="378" t="e" cm="1">
        <f t="array" aca="1" ref="D1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2" s="99" t="s">
        <v>861</v>
      </c>
      <c r="F12" s="104" t="s">
        <v>350</v>
      </c>
      <c r="G12" s="99" t="s">
        <v>856</v>
      </c>
      <c r="H12" s="426" t="s">
        <v>348</v>
      </c>
      <c r="I12" s="435">
        <v>592126292</v>
      </c>
      <c r="J12" s="153" t="s">
        <v>349</v>
      </c>
      <c r="K12" s="384" t="s">
        <v>857</v>
      </c>
      <c r="L12" s="412" t="s">
        <v>860</v>
      </c>
      <c r="M12" s="97"/>
      <c r="N12" s="97">
        <v>2026</v>
      </c>
      <c r="O12" s="258"/>
    </row>
    <row r="13" spans="2:15" customFormat="1">
      <c r="B13" s="104"/>
      <c r="C13" s="383" t="s">
        <v>373</v>
      </c>
      <c r="D13" s="378" t="e" cm="1">
        <f t="array" aca="1" ref="D1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3" s="99" t="s">
        <v>384</v>
      </c>
      <c r="F13" s="104" t="s">
        <v>350</v>
      </c>
      <c r="G13" s="99" t="s">
        <v>856</v>
      </c>
      <c r="H13" s="426" t="s">
        <v>342</v>
      </c>
      <c r="I13" s="436">
        <v>46479352</v>
      </c>
      <c r="J13" s="153" t="s">
        <v>349</v>
      </c>
      <c r="K13" s="384" t="s">
        <v>857</v>
      </c>
      <c r="L13" s="412" t="s">
        <v>860</v>
      </c>
      <c r="M13" s="97"/>
      <c r="N13" s="97">
        <v>2026</v>
      </c>
      <c r="O13" s="258"/>
    </row>
    <row r="14" spans="2:15" customFormat="1">
      <c r="B14" s="104"/>
      <c r="C14" s="383" t="s">
        <v>373</v>
      </c>
      <c r="D14" s="378" t="e" cm="1">
        <f t="array" aca="1" ref="D1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4" s="99" t="s">
        <v>384</v>
      </c>
      <c r="F14" s="104" t="s">
        <v>350</v>
      </c>
      <c r="G14" s="99" t="s">
        <v>856</v>
      </c>
      <c r="H14" s="426" t="s">
        <v>345</v>
      </c>
      <c r="I14" s="435">
        <v>105094644</v>
      </c>
      <c r="J14" s="153" t="s">
        <v>349</v>
      </c>
      <c r="K14" s="384" t="s">
        <v>857</v>
      </c>
      <c r="L14" s="412" t="s">
        <v>860</v>
      </c>
      <c r="M14" s="97"/>
      <c r="N14" s="97">
        <v>2026</v>
      </c>
      <c r="O14" s="258"/>
    </row>
    <row r="15" spans="2:15" customFormat="1">
      <c r="B15" s="104"/>
      <c r="C15" s="383" t="s">
        <v>373</v>
      </c>
      <c r="D15" s="378" t="e" cm="1">
        <f t="array" aca="1" ref="D1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5" s="99" t="s">
        <v>384</v>
      </c>
      <c r="F15" s="104" t="s">
        <v>350</v>
      </c>
      <c r="G15" s="99" t="s">
        <v>856</v>
      </c>
      <c r="H15" s="426" t="s">
        <v>348</v>
      </c>
      <c r="I15" s="436">
        <v>54037546</v>
      </c>
      <c r="J15" s="153" t="s">
        <v>349</v>
      </c>
      <c r="K15" s="384" t="s">
        <v>857</v>
      </c>
      <c r="L15" s="412" t="s">
        <v>860</v>
      </c>
      <c r="M15" s="97"/>
      <c r="N15" s="97">
        <v>2026</v>
      </c>
      <c r="O15" s="258"/>
    </row>
    <row r="16" spans="2:15" customFormat="1">
      <c r="B16" s="104"/>
      <c r="C16" s="383" t="s">
        <v>422</v>
      </c>
      <c r="D16" s="378" t="e" cm="1">
        <f t="array" aca="1" ref="D1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6" s="99" t="s">
        <v>382</v>
      </c>
      <c r="F16" s="104" t="s">
        <v>350</v>
      </c>
      <c r="G16" s="99" t="s">
        <v>856</v>
      </c>
      <c r="H16" s="426" t="s">
        <v>342</v>
      </c>
      <c r="I16" s="435">
        <f>20280832+289712</f>
        <v>20570544</v>
      </c>
      <c r="J16" s="153" t="s">
        <v>349</v>
      </c>
      <c r="K16" s="384" t="s">
        <v>857</v>
      </c>
      <c r="L16" s="412" t="s">
        <v>858</v>
      </c>
      <c r="M16" s="97"/>
      <c r="N16" s="97">
        <v>2026</v>
      </c>
      <c r="O16" s="258"/>
    </row>
    <row r="17" spans="2:15" customFormat="1">
      <c r="B17" s="104"/>
      <c r="C17" s="383" t="s">
        <v>422</v>
      </c>
      <c r="D17" s="378" t="e" cm="1">
        <f t="array" aca="1" ref="D1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7" s="99" t="s">
        <v>382</v>
      </c>
      <c r="F17" s="104" t="s">
        <v>350</v>
      </c>
      <c r="G17" s="99" t="s">
        <v>856</v>
      </c>
      <c r="H17" s="426" t="s">
        <v>345</v>
      </c>
      <c r="I17" s="435">
        <f>16470110+12240515</f>
        <v>28710625</v>
      </c>
      <c r="J17" s="153" t="s">
        <v>349</v>
      </c>
      <c r="K17" s="384" t="s">
        <v>857</v>
      </c>
      <c r="L17" s="412" t="s">
        <v>858</v>
      </c>
      <c r="M17" s="97"/>
      <c r="N17" s="97">
        <v>2026</v>
      </c>
      <c r="O17" s="258"/>
    </row>
    <row r="18" spans="2:15" customFormat="1">
      <c r="B18" s="104"/>
      <c r="C18" s="383" t="s">
        <v>422</v>
      </c>
      <c r="D18" s="378" t="e" cm="1">
        <f t="array" aca="1" ref="D1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8" s="99" t="s">
        <v>382</v>
      </c>
      <c r="F18" s="104" t="s">
        <v>350</v>
      </c>
      <c r="G18" s="99" t="s">
        <v>856</v>
      </c>
      <c r="H18" s="426" t="s">
        <v>348</v>
      </c>
      <c r="I18" s="435">
        <f>10575923-1154462</f>
        <v>9421461</v>
      </c>
      <c r="J18" s="153" t="s">
        <v>349</v>
      </c>
      <c r="K18" s="384" t="s">
        <v>857</v>
      </c>
      <c r="L18" s="412" t="s">
        <v>858</v>
      </c>
      <c r="M18" s="97"/>
      <c r="N18" s="97">
        <v>2026</v>
      </c>
      <c r="O18" s="258"/>
    </row>
    <row r="19" spans="2:15" customFormat="1">
      <c r="B19" s="104"/>
      <c r="C19" s="383" t="s">
        <v>422</v>
      </c>
      <c r="D19" s="378" t="e" cm="1">
        <f t="array" aca="1" ref="D1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9" s="99" t="s">
        <v>859</v>
      </c>
      <c r="F19" s="104" t="s">
        <v>350</v>
      </c>
      <c r="G19" s="99" t="s">
        <v>856</v>
      </c>
      <c r="H19" s="426" t="s">
        <v>348</v>
      </c>
      <c r="I19" s="435">
        <v>1500000</v>
      </c>
      <c r="J19" s="153" t="s">
        <v>349</v>
      </c>
      <c r="K19" s="384" t="s">
        <v>857</v>
      </c>
      <c r="L19" s="412" t="s">
        <v>860</v>
      </c>
      <c r="M19" s="97"/>
      <c r="N19" s="97">
        <v>2026</v>
      </c>
      <c r="O19" s="258"/>
    </row>
    <row r="20" spans="2:15" customFormat="1">
      <c r="B20" s="104"/>
      <c r="C20" s="383" t="s">
        <v>422</v>
      </c>
      <c r="D20" s="378" t="e" cm="1">
        <f t="array" aca="1" ref="D2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0" s="99" t="s">
        <v>861</v>
      </c>
      <c r="F20" s="104" t="s">
        <v>350</v>
      </c>
      <c r="G20" s="99" t="s">
        <v>856</v>
      </c>
      <c r="H20" s="426" t="s">
        <v>348</v>
      </c>
      <c r="I20" s="435">
        <v>7584700</v>
      </c>
      <c r="J20" s="153" t="s">
        <v>349</v>
      </c>
      <c r="K20" s="384" t="s">
        <v>857</v>
      </c>
      <c r="L20" s="412" t="s">
        <v>860</v>
      </c>
      <c r="M20" s="97"/>
      <c r="N20" s="97">
        <v>2026</v>
      </c>
      <c r="O20" s="258"/>
    </row>
    <row r="21" spans="2:15" customFormat="1">
      <c r="B21" s="104"/>
      <c r="C21" s="383" t="s">
        <v>422</v>
      </c>
      <c r="D21" s="378" t="e" cm="1">
        <f t="array" aca="1" ref="D2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1" s="99" t="s">
        <v>384</v>
      </c>
      <c r="F21" s="104" t="s">
        <v>350</v>
      </c>
      <c r="G21" s="99" t="s">
        <v>856</v>
      </c>
      <c r="H21" s="426" t="s">
        <v>345</v>
      </c>
      <c r="I21" s="435">
        <v>6088574</v>
      </c>
      <c r="J21" s="153" t="s">
        <v>349</v>
      </c>
      <c r="K21" s="384" t="s">
        <v>857</v>
      </c>
      <c r="L21" s="412" t="s">
        <v>860</v>
      </c>
      <c r="M21" s="97"/>
      <c r="N21" s="97">
        <v>2026</v>
      </c>
      <c r="O21" s="258"/>
    </row>
    <row r="22" spans="2:15" customFormat="1">
      <c r="B22" s="104"/>
      <c r="C22" s="383" t="s">
        <v>128</v>
      </c>
      <c r="D22" s="378" t="e" cm="1">
        <f t="array" aca="1" ref="D2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2" s="99" t="s">
        <v>382</v>
      </c>
      <c r="F22" s="104" t="s">
        <v>350</v>
      </c>
      <c r="G22" s="99" t="s">
        <v>856</v>
      </c>
      <c r="H22" s="426" t="s">
        <v>342</v>
      </c>
      <c r="I22" s="435">
        <f>29356172-1314774</f>
        <v>28041398</v>
      </c>
      <c r="J22" s="153" t="s">
        <v>349</v>
      </c>
      <c r="K22" s="384" t="s">
        <v>857</v>
      </c>
      <c r="L22" s="412" t="s">
        <v>858</v>
      </c>
      <c r="M22" s="97"/>
      <c r="N22" s="97">
        <v>2026</v>
      </c>
      <c r="O22" s="258"/>
    </row>
    <row r="23" spans="2:15" customFormat="1">
      <c r="B23" s="104"/>
      <c r="C23" s="383" t="s">
        <v>128</v>
      </c>
      <c r="D23" s="378" t="e" cm="1">
        <f t="array" aca="1" ref="D2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3" s="99" t="s">
        <v>382</v>
      </c>
      <c r="F23" s="104" t="s">
        <v>350</v>
      </c>
      <c r="G23" s="99" t="s">
        <v>856</v>
      </c>
      <c r="H23" s="426" t="s">
        <v>345</v>
      </c>
      <c r="I23" s="435">
        <f>29356172-394114</f>
        <v>28962058</v>
      </c>
      <c r="J23" s="153" t="s">
        <v>349</v>
      </c>
      <c r="K23" s="384" t="s">
        <v>857</v>
      </c>
      <c r="L23" s="412" t="s">
        <v>858</v>
      </c>
      <c r="M23" s="97"/>
      <c r="N23" s="97">
        <v>2026</v>
      </c>
      <c r="O23" s="258"/>
    </row>
    <row r="24" spans="2:15" customFormat="1">
      <c r="B24" s="104"/>
      <c r="C24" s="383" t="s">
        <v>128</v>
      </c>
      <c r="D24" s="378" t="e" cm="1">
        <f t="array" aca="1" ref="D2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4" s="99" t="s">
        <v>382</v>
      </c>
      <c r="F24" s="104" t="s">
        <v>350</v>
      </c>
      <c r="G24" s="99" t="s">
        <v>856</v>
      </c>
      <c r="H24" s="426" t="s">
        <v>348</v>
      </c>
      <c r="I24" s="435">
        <f>29356172+2477355</f>
        <v>31833527</v>
      </c>
      <c r="J24" s="153" t="s">
        <v>349</v>
      </c>
      <c r="K24" s="384" t="s">
        <v>857</v>
      </c>
      <c r="L24" s="412" t="s">
        <v>858</v>
      </c>
      <c r="M24" s="97"/>
      <c r="N24" s="97">
        <v>2026</v>
      </c>
      <c r="O24" s="258"/>
    </row>
    <row r="25" spans="2:15" customFormat="1">
      <c r="B25" s="104"/>
      <c r="C25" s="383" t="s">
        <v>128</v>
      </c>
      <c r="D25" s="378" t="e" cm="1">
        <f t="array" aca="1" ref="D2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5" s="99" t="s">
        <v>859</v>
      </c>
      <c r="F25" s="104" t="s">
        <v>350</v>
      </c>
      <c r="G25" s="99" t="s">
        <v>856</v>
      </c>
      <c r="H25" s="425" t="s">
        <v>348</v>
      </c>
      <c r="I25" s="435">
        <v>4500000</v>
      </c>
      <c r="J25" s="153" t="s">
        <v>349</v>
      </c>
      <c r="K25" s="384" t="s">
        <v>857</v>
      </c>
      <c r="L25" s="412" t="s">
        <v>860</v>
      </c>
      <c r="M25" s="97"/>
      <c r="N25" s="97">
        <v>2026</v>
      </c>
      <c r="O25" s="258"/>
    </row>
    <row r="26" spans="2:15" customFormat="1">
      <c r="B26" s="104"/>
      <c r="C26" s="383" t="s">
        <v>128</v>
      </c>
      <c r="D26" s="378" t="e" cm="1">
        <f t="array" aca="1" ref="D2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6" s="99" t="s">
        <v>861</v>
      </c>
      <c r="F26" s="104" t="s">
        <v>350</v>
      </c>
      <c r="G26" s="99" t="s">
        <v>856</v>
      </c>
      <c r="H26" s="425" t="s">
        <v>348</v>
      </c>
      <c r="I26" s="435">
        <v>20807845</v>
      </c>
      <c r="J26" s="153" t="s">
        <v>349</v>
      </c>
      <c r="K26" s="384" t="s">
        <v>857</v>
      </c>
      <c r="L26" s="412" t="s">
        <v>860</v>
      </c>
      <c r="M26" s="97"/>
      <c r="N26" s="97">
        <v>2026</v>
      </c>
      <c r="O26" s="258"/>
    </row>
    <row r="27" spans="2:15" customFormat="1">
      <c r="B27" s="104"/>
      <c r="C27" s="383" t="s">
        <v>128</v>
      </c>
      <c r="D27" s="378" t="e" cm="1">
        <f t="array" aca="1" ref="D2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7" s="99" t="s">
        <v>384</v>
      </c>
      <c r="F27" s="104" t="s">
        <v>350</v>
      </c>
      <c r="G27" s="99" t="s">
        <v>856</v>
      </c>
      <c r="H27" s="426" t="s">
        <v>342</v>
      </c>
      <c r="I27" s="436">
        <v>1983761</v>
      </c>
      <c r="J27" s="153" t="s">
        <v>349</v>
      </c>
      <c r="K27" s="384" t="s">
        <v>857</v>
      </c>
      <c r="L27" s="412" t="s">
        <v>860</v>
      </c>
      <c r="M27" s="97"/>
      <c r="N27" s="97">
        <v>2026</v>
      </c>
      <c r="O27" s="258"/>
    </row>
    <row r="28" spans="2:15" customFormat="1">
      <c r="B28" s="104"/>
      <c r="C28" s="383" t="s">
        <v>128</v>
      </c>
      <c r="D28" s="378" t="e" cm="1">
        <f t="array" aca="1" ref="D2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8" s="99" t="s">
        <v>384</v>
      </c>
      <c r="F28" s="104" t="s">
        <v>350</v>
      </c>
      <c r="G28" s="99" t="s">
        <v>856</v>
      </c>
      <c r="H28" s="426" t="s">
        <v>345</v>
      </c>
      <c r="I28" s="436">
        <v>7686569</v>
      </c>
      <c r="J28" s="153" t="s">
        <v>349</v>
      </c>
      <c r="K28" s="384" t="s">
        <v>857</v>
      </c>
      <c r="L28" s="412" t="s">
        <v>860</v>
      </c>
      <c r="M28" s="97"/>
      <c r="N28" s="97">
        <v>2026</v>
      </c>
      <c r="O28" s="258"/>
    </row>
    <row r="29" spans="2:15" customFormat="1">
      <c r="B29" s="104"/>
      <c r="C29" s="383" t="s">
        <v>414</v>
      </c>
      <c r="D29" s="378" t="e" cm="1">
        <f t="array" aca="1" ref="D2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9" s="99" t="s">
        <v>382</v>
      </c>
      <c r="F29" s="104" t="s">
        <v>350</v>
      </c>
      <c r="G29" s="99" t="s">
        <v>856</v>
      </c>
      <c r="H29" s="426" t="s">
        <v>342</v>
      </c>
      <c r="I29" s="435">
        <v>7607974</v>
      </c>
      <c r="J29" s="153" t="s">
        <v>349</v>
      </c>
      <c r="K29" s="384" t="s">
        <v>857</v>
      </c>
      <c r="L29" s="412" t="s">
        <v>858</v>
      </c>
      <c r="M29" s="97"/>
      <c r="N29" s="97">
        <v>2026</v>
      </c>
      <c r="O29" s="258"/>
    </row>
    <row r="30" spans="2:15" customFormat="1">
      <c r="B30" s="104"/>
      <c r="C30" s="383" t="s">
        <v>414</v>
      </c>
      <c r="D30" s="378" t="e" cm="1">
        <f t="array" aca="1" ref="D3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0" s="99" t="s">
        <v>382</v>
      </c>
      <c r="F30" s="104" t="s">
        <v>350</v>
      </c>
      <c r="G30" s="99" t="s">
        <v>856</v>
      </c>
      <c r="H30" s="426" t="s">
        <v>345</v>
      </c>
      <c r="I30" s="435">
        <v>7607974</v>
      </c>
      <c r="J30" s="153" t="s">
        <v>349</v>
      </c>
      <c r="K30" s="384" t="s">
        <v>857</v>
      </c>
      <c r="L30" s="412" t="s">
        <v>858</v>
      </c>
      <c r="M30" s="97"/>
      <c r="N30" s="97">
        <v>2026</v>
      </c>
      <c r="O30" s="258"/>
    </row>
    <row r="31" spans="2:15" customFormat="1">
      <c r="B31" s="104"/>
      <c r="C31" s="383" t="s">
        <v>414</v>
      </c>
      <c r="D31" s="378" t="e" cm="1">
        <f t="array" aca="1" ref="D3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1" s="99" t="s">
        <v>382</v>
      </c>
      <c r="F31" s="104" t="s">
        <v>350</v>
      </c>
      <c r="G31" s="99" t="s">
        <v>856</v>
      </c>
      <c r="H31" s="426" t="s">
        <v>348</v>
      </c>
      <c r="I31" s="435">
        <v>7607974</v>
      </c>
      <c r="J31" s="153" t="s">
        <v>349</v>
      </c>
      <c r="K31" s="384" t="s">
        <v>857</v>
      </c>
      <c r="L31" s="412" t="s">
        <v>858</v>
      </c>
      <c r="M31" s="97"/>
      <c r="N31" s="97">
        <v>2026</v>
      </c>
      <c r="O31" s="258"/>
    </row>
    <row r="32" spans="2:15" customFormat="1">
      <c r="B32" s="104"/>
      <c r="C32" s="383" t="s">
        <v>414</v>
      </c>
      <c r="D32" s="378" t="e" cm="1">
        <f t="array" aca="1" ref="D3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2" s="99" t="s">
        <v>861</v>
      </c>
      <c r="F32" s="104" t="s">
        <v>350</v>
      </c>
      <c r="G32" s="99" t="s">
        <v>856</v>
      </c>
      <c r="H32" s="426" t="s">
        <v>348</v>
      </c>
      <c r="I32" s="435">
        <v>5870350</v>
      </c>
      <c r="J32" s="153" t="s">
        <v>349</v>
      </c>
      <c r="K32" s="384" t="s">
        <v>857</v>
      </c>
      <c r="L32" s="412" t="s">
        <v>860</v>
      </c>
      <c r="M32" s="97"/>
      <c r="N32" s="97">
        <v>2026</v>
      </c>
      <c r="O32" s="258"/>
    </row>
    <row r="33" spans="2:15" customFormat="1">
      <c r="B33" s="104"/>
      <c r="C33" s="383" t="s">
        <v>413</v>
      </c>
      <c r="D33" s="378" t="e" cm="1">
        <f t="array" aca="1" ref="D3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3" s="99" t="s">
        <v>382</v>
      </c>
      <c r="F33" s="104" t="s">
        <v>350</v>
      </c>
      <c r="G33" s="99" t="s">
        <v>856</v>
      </c>
      <c r="H33" s="426" t="s">
        <v>342</v>
      </c>
      <c r="I33" s="435">
        <v>618542477</v>
      </c>
      <c r="J33" s="153" t="s">
        <v>349</v>
      </c>
      <c r="K33" s="384" t="s">
        <v>857</v>
      </c>
      <c r="L33" s="412" t="s">
        <v>858</v>
      </c>
      <c r="M33" s="97"/>
      <c r="N33" s="97">
        <v>2026</v>
      </c>
      <c r="O33" s="258"/>
    </row>
    <row r="34" spans="2:15" customFormat="1">
      <c r="B34" s="104"/>
      <c r="C34" s="383" t="s">
        <v>413</v>
      </c>
      <c r="D34" s="378" t="e" cm="1">
        <f t="array" aca="1" ref="D3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4" s="99" t="s">
        <v>382</v>
      </c>
      <c r="F34" s="104" t="s">
        <v>350</v>
      </c>
      <c r="G34" s="99" t="s">
        <v>856</v>
      </c>
      <c r="H34" s="426" t="s">
        <v>345</v>
      </c>
      <c r="I34" s="435">
        <v>630360579</v>
      </c>
      <c r="J34" s="153" t="s">
        <v>349</v>
      </c>
      <c r="K34" s="384" t="s">
        <v>857</v>
      </c>
      <c r="L34" s="412" t="s">
        <v>858</v>
      </c>
      <c r="M34" s="97"/>
      <c r="N34" s="97">
        <v>2026</v>
      </c>
      <c r="O34" s="258"/>
    </row>
    <row r="35" spans="2:15" customFormat="1">
      <c r="B35" s="104"/>
      <c r="C35" s="383" t="s">
        <v>413</v>
      </c>
      <c r="D35" s="378" t="e" cm="1">
        <f t="array" aca="1" ref="D3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5" s="99" t="s">
        <v>382</v>
      </c>
      <c r="F35" s="104" t="s">
        <v>350</v>
      </c>
      <c r="G35" s="99" t="s">
        <v>856</v>
      </c>
      <c r="H35" s="426" t="s">
        <v>348</v>
      </c>
      <c r="I35" s="435">
        <v>631560786</v>
      </c>
      <c r="J35" s="153" t="s">
        <v>349</v>
      </c>
      <c r="K35" s="384" t="s">
        <v>857</v>
      </c>
      <c r="L35" s="412" t="s">
        <v>858</v>
      </c>
      <c r="M35" s="97"/>
      <c r="N35" s="97">
        <v>2026</v>
      </c>
      <c r="O35" s="258"/>
    </row>
    <row r="36" spans="2:15" customFormat="1">
      <c r="B36" s="104"/>
      <c r="C36" s="383" t="s">
        <v>413</v>
      </c>
      <c r="D36" s="378" t="e" cm="1">
        <f t="array" aca="1" ref="D3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6" s="99" t="s">
        <v>862</v>
      </c>
      <c r="F36" s="104" t="s">
        <v>350</v>
      </c>
      <c r="G36" s="99" t="s">
        <v>856</v>
      </c>
      <c r="H36" s="426" t="s">
        <v>342</v>
      </c>
      <c r="I36" s="435">
        <v>11273150</v>
      </c>
      <c r="J36" s="153" t="s">
        <v>349</v>
      </c>
      <c r="K36" s="384" t="s">
        <v>857</v>
      </c>
      <c r="L36" s="412" t="s">
        <v>860</v>
      </c>
      <c r="M36" s="97"/>
      <c r="N36" s="97">
        <v>2026</v>
      </c>
      <c r="O36" s="258"/>
    </row>
    <row r="37" spans="2:15" customFormat="1">
      <c r="B37" s="104"/>
      <c r="C37" s="383" t="s">
        <v>413</v>
      </c>
      <c r="D37" s="378" t="e" cm="1">
        <f t="array" aca="1" ref="D3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7" s="99" t="s">
        <v>862</v>
      </c>
      <c r="F37" s="104" t="s">
        <v>350</v>
      </c>
      <c r="G37" s="99" t="s">
        <v>856</v>
      </c>
      <c r="H37" s="426" t="s">
        <v>345</v>
      </c>
      <c r="I37" s="435">
        <v>10909500</v>
      </c>
      <c r="J37" s="153" t="s">
        <v>349</v>
      </c>
      <c r="K37" s="384" t="s">
        <v>857</v>
      </c>
      <c r="L37" s="412" t="s">
        <v>860</v>
      </c>
      <c r="M37" s="97"/>
      <c r="N37" s="97">
        <v>2026</v>
      </c>
      <c r="O37" s="258"/>
    </row>
    <row r="38" spans="2:15" customFormat="1">
      <c r="B38" s="104"/>
      <c r="C38" s="383" t="s">
        <v>413</v>
      </c>
      <c r="D38" s="378" t="e" cm="1">
        <f t="array" aca="1" ref="D3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8" s="99" t="s">
        <v>862</v>
      </c>
      <c r="F38" s="104" t="s">
        <v>350</v>
      </c>
      <c r="G38" s="99" t="s">
        <v>856</v>
      </c>
      <c r="H38" s="426" t="s">
        <v>348</v>
      </c>
      <c r="I38" s="435">
        <v>10909500</v>
      </c>
      <c r="J38" s="153" t="s">
        <v>349</v>
      </c>
      <c r="K38" s="384" t="s">
        <v>857</v>
      </c>
      <c r="L38" s="412" t="s">
        <v>860</v>
      </c>
      <c r="M38" s="97"/>
      <c r="N38" s="97">
        <v>2026</v>
      </c>
      <c r="O38" s="258"/>
    </row>
    <row r="39" spans="2:15" customFormat="1">
      <c r="B39" s="104"/>
      <c r="C39" s="383" t="s">
        <v>413</v>
      </c>
      <c r="D39" s="378" t="e" cm="1">
        <f t="array" aca="1" ref="D3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9" s="99" t="s">
        <v>863</v>
      </c>
      <c r="F39" s="104" t="s">
        <v>350</v>
      </c>
      <c r="G39" s="99" t="s">
        <v>856</v>
      </c>
      <c r="H39" s="426" t="s">
        <v>342</v>
      </c>
      <c r="I39" s="436">
        <v>14461073</v>
      </c>
      <c r="J39" s="153" t="s">
        <v>349</v>
      </c>
      <c r="K39" s="384" t="s">
        <v>857</v>
      </c>
      <c r="L39" s="412" t="s">
        <v>860</v>
      </c>
      <c r="M39" s="97"/>
      <c r="N39" s="97">
        <v>2026</v>
      </c>
      <c r="O39" s="258"/>
    </row>
    <row r="40" spans="2:15" customFormat="1">
      <c r="B40" s="104"/>
      <c r="C40" s="383" t="s">
        <v>413</v>
      </c>
      <c r="D40" s="378" t="e" cm="1">
        <f t="array" aca="1" ref="D4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0" s="99" t="s">
        <v>863</v>
      </c>
      <c r="F40" s="104" t="s">
        <v>350</v>
      </c>
      <c r="G40" s="99" t="s">
        <v>856</v>
      </c>
      <c r="H40" s="426" t="s">
        <v>345</v>
      </c>
      <c r="I40" s="436">
        <v>81940187</v>
      </c>
      <c r="J40" s="153" t="s">
        <v>349</v>
      </c>
      <c r="K40" s="384" t="s">
        <v>857</v>
      </c>
      <c r="L40" s="412" t="s">
        <v>860</v>
      </c>
      <c r="M40" s="97"/>
      <c r="N40" s="97">
        <v>2026</v>
      </c>
      <c r="O40" s="258"/>
    </row>
    <row r="41" spans="2:15" customFormat="1">
      <c r="B41" s="104"/>
      <c r="C41" s="383" t="s">
        <v>413</v>
      </c>
      <c r="D41" s="378" t="e" cm="1">
        <f t="array" aca="1" ref="D4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1" s="99" t="s">
        <v>863</v>
      </c>
      <c r="F41" s="104" t="s">
        <v>350</v>
      </c>
      <c r="G41" s="99" t="s">
        <v>856</v>
      </c>
      <c r="H41" s="426" t="s">
        <v>348</v>
      </c>
      <c r="I41" s="435">
        <v>50158883</v>
      </c>
      <c r="J41" s="153" t="s">
        <v>349</v>
      </c>
      <c r="K41" s="384" t="s">
        <v>857</v>
      </c>
      <c r="L41" s="412" t="s">
        <v>860</v>
      </c>
      <c r="M41" s="97"/>
      <c r="N41" s="97">
        <v>2026</v>
      </c>
      <c r="O41" s="258"/>
    </row>
    <row r="42" spans="2:15" customFormat="1">
      <c r="B42" s="104"/>
      <c r="C42" s="383" t="s">
        <v>413</v>
      </c>
      <c r="D42" s="378" t="e" cm="1">
        <f t="array" aca="1" ref="D4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2" s="99" t="s">
        <v>861</v>
      </c>
      <c r="F42" s="104" t="s">
        <v>350</v>
      </c>
      <c r="G42" s="99" t="s">
        <v>856</v>
      </c>
      <c r="H42" s="426" t="s">
        <v>348</v>
      </c>
      <c r="I42" s="435">
        <v>556688633</v>
      </c>
      <c r="J42" s="153" t="s">
        <v>349</v>
      </c>
      <c r="K42" s="384" t="s">
        <v>857</v>
      </c>
      <c r="L42" s="412" t="s">
        <v>860</v>
      </c>
      <c r="M42" s="97"/>
      <c r="N42" s="97">
        <v>2026</v>
      </c>
      <c r="O42" s="258"/>
    </row>
    <row r="43" spans="2:15" customFormat="1">
      <c r="B43" s="104"/>
      <c r="C43" s="383" t="s">
        <v>413</v>
      </c>
      <c r="D43" s="378" t="e" cm="1">
        <f t="array" aca="1" ref="D4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3" s="99" t="s">
        <v>382</v>
      </c>
      <c r="F43" s="104" t="s">
        <v>350</v>
      </c>
      <c r="G43" s="99" t="s">
        <v>856</v>
      </c>
      <c r="H43" s="426" t="s">
        <v>342</v>
      </c>
      <c r="I43" s="435">
        <v>11515448</v>
      </c>
      <c r="J43" s="153" t="s">
        <v>349</v>
      </c>
      <c r="K43" s="384" t="s">
        <v>857</v>
      </c>
      <c r="L43" s="412" t="s">
        <v>858</v>
      </c>
      <c r="M43" s="97"/>
      <c r="N43" s="97">
        <v>2026</v>
      </c>
      <c r="O43" s="258"/>
    </row>
    <row r="44" spans="2:15" customFormat="1">
      <c r="B44" s="104"/>
      <c r="C44" s="383" t="s">
        <v>413</v>
      </c>
      <c r="D44" s="378" t="e" cm="1">
        <f t="array" aca="1" ref="D4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4" s="99" t="s">
        <v>382</v>
      </c>
      <c r="F44" s="104" t="s">
        <v>350</v>
      </c>
      <c r="G44" s="99" t="s">
        <v>856</v>
      </c>
      <c r="H44" s="426" t="s">
        <v>345</v>
      </c>
      <c r="I44" s="435">
        <v>11515448</v>
      </c>
      <c r="J44" s="153" t="s">
        <v>349</v>
      </c>
      <c r="K44" s="384" t="s">
        <v>857</v>
      </c>
      <c r="L44" s="412" t="s">
        <v>858</v>
      </c>
      <c r="M44" s="97"/>
      <c r="N44" s="97">
        <v>2026</v>
      </c>
      <c r="O44" s="258"/>
    </row>
    <row r="45" spans="2:15" customFormat="1">
      <c r="B45" s="104"/>
      <c r="C45" s="383" t="s">
        <v>413</v>
      </c>
      <c r="D45" s="378" t="e" cm="1">
        <f t="array" aca="1" ref="D4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5" s="99" t="s">
        <v>382</v>
      </c>
      <c r="F45" s="104" t="s">
        <v>350</v>
      </c>
      <c r="G45" s="99" t="s">
        <v>856</v>
      </c>
      <c r="H45" s="426" t="s">
        <v>348</v>
      </c>
      <c r="I45" s="435">
        <v>11515448</v>
      </c>
      <c r="J45" s="153" t="s">
        <v>349</v>
      </c>
      <c r="K45" s="384" t="s">
        <v>857</v>
      </c>
      <c r="L45" s="412" t="s">
        <v>858</v>
      </c>
      <c r="M45" s="97"/>
      <c r="N45" s="97">
        <v>2026</v>
      </c>
      <c r="O45" s="258"/>
    </row>
    <row r="46" spans="2:15" customFormat="1">
      <c r="B46" s="104"/>
      <c r="C46" s="383" t="s">
        <v>423</v>
      </c>
      <c r="D46" s="378" t="e" cm="1">
        <f t="array" aca="1" ref="D4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6" s="99" t="s">
        <v>382</v>
      </c>
      <c r="F46" s="104" t="s">
        <v>350</v>
      </c>
      <c r="G46" s="99" t="s">
        <v>856</v>
      </c>
      <c r="H46" s="426" t="s">
        <v>342</v>
      </c>
      <c r="I46" s="435">
        <v>8096744</v>
      </c>
      <c r="J46" s="153" t="s">
        <v>349</v>
      </c>
      <c r="K46" s="384" t="s">
        <v>857</v>
      </c>
      <c r="L46" s="412" t="s">
        <v>858</v>
      </c>
      <c r="M46" s="97"/>
      <c r="N46" s="97">
        <v>2026</v>
      </c>
      <c r="O46" s="258"/>
    </row>
    <row r="47" spans="2:15" customFormat="1">
      <c r="B47" s="104"/>
      <c r="C47" s="383" t="s">
        <v>423</v>
      </c>
      <c r="D47" s="378" t="e" cm="1">
        <f t="array" aca="1" ref="D4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7" s="99" t="s">
        <v>382</v>
      </c>
      <c r="F47" s="104" t="s">
        <v>350</v>
      </c>
      <c r="G47" s="99" t="s">
        <v>856</v>
      </c>
      <c r="H47" s="426" t="s">
        <v>345</v>
      </c>
      <c r="I47" s="435">
        <v>8096744</v>
      </c>
      <c r="J47" s="153" t="s">
        <v>349</v>
      </c>
      <c r="K47" s="384" t="s">
        <v>857</v>
      </c>
      <c r="L47" s="412" t="s">
        <v>858</v>
      </c>
      <c r="M47" s="97"/>
      <c r="N47" s="97">
        <v>2026</v>
      </c>
      <c r="O47" s="258"/>
    </row>
    <row r="48" spans="2:15" customFormat="1">
      <c r="B48" s="104"/>
      <c r="C48" s="383" t="s">
        <v>423</v>
      </c>
      <c r="D48" s="378" t="e" cm="1">
        <f t="array" aca="1" ref="D4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8" s="99" t="s">
        <v>382</v>
      </c>
      <c r="F48" s="104" t="s">
        <v>350</v>
      </c>
      <c r="G48" s="99" t="s">
        <v>856</v>
      </c>
      <c r="H48" s="426" t="s">
        <v>348</v>
      </c>
      <c r="I48" s="435">
        <v>8096744</v>
      </c>
      <c r="J48" s="153" t="s">
        <v>349</v>
      </c>
      <c r="K48" s="384" t="s">
        <v>857</v>
      </c>
      <c r="L48" s="412" t="s">
        <v>858</v>
      </c>
      <c r="M48" s="97"/>
      <c r="N48" s="97">
        <v>2026</v>
      </c>
      <c r="O48" s="258"/>
    </row>
    <row r="49" spans="2:15" customFormat="1">
      <c r="B49" s="104"/>
      <c r="C49" s="383" t="s">
        <v>423</v>
      </c>
      <c r="D49" s="378" t="e" cm="1">
        <f t="array" aca="1" ref="D4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9" s="99" t="s">
        <v>859</v>
      </c>
      <c r="F49" s="104" t="s">
        <v>350</v>
      </c>
      <c r="G49" s="99" t="s">
        <v>856</v>
      </c>
      <c r="H49" s="426" t="s">
        <v>348</v>
      </c>
      <c r="I49" s="435">
        <v>1500000</v>
      </c>
      <c r="J49" s="153" t="s">
        <v>349</v>
      </c>
      <c r="K49" s="384" t="s">
        <v>857</v>
      </c>
      <c r="L49" s="412" t="s">
        <v>860</v>
      </c>
      <c r="M49" s="97"/>
      <c r="N49" s="97">
        <v>2026</v>
      </c>
      <c r="O49" s="258"/>
    </row>
    <row r="50" spans="2:15" customFormat="1">
      <c r="B50" s="104"/>
      <c r="C50" s="383" t="s">
        <v>423</v>
      </c>
      <c r="D50" s="378" t="e" cm="1">
        <f t="array" aca="1" ref="D5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0" s="99" t="s">
        <v>861</v>
      </c>
      <c r="F50" s="104" t="s">
        <v>350</v>
      </c>
      <c r="G50" s="99" t="s">
        <v>856</v>
      </c>
      <c r="H50" s="426" t="s">
        <v>348</v>
      </c>
      <c r="I50" s="435">
        <v>6337046</v>
      </c>
      <c r="J50" s="153" t="s">
        <v>349</v>
      </c>
      <c r="K50" s="384" t="s">
        <v>857</v>
      </c>
      <c r="L50" s="412" t="s">
        <v>860</v>
      </c>
      <c r="M50" s="97"/>
      <c r="N50" s="97">
        <v>2026</v>
      </c>
      <c r="O50" s="258"/>
    </row>
    <row r="51" spans="2:15" customFormat="1">
      <c r="B51" s="104"/>
      <c r="C51" s="383" t="s">
        <v>411</v>
      </c>
      <c r="D51" s="378" t="e" cm="1">
        <f t="array" aca="1" ref="D5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1" s="99" t="s">
        <v>382</v>
      </c>
      <c r="F51" s="104" t="s">
        <v>350</v>
      </c>
      <c r="G51" s="99" t="s">
        <v>856</v>
      </c>
      <c r="H51" s="426" t="s">
        <v>342</v>
      </c>
      <c r="I51" s="435">
        <f>652725791-4995298</f>
        <v>647730493</v>
      </c>
      <c r="J51" s="153" t="s">
        <v>349</v>
      </c>
      <c r="K51" s="384" t="s">
        <v>857</v>
      </c>
      <c r="L51" s="412" t="s">
        <v>858</v>
      </c>
      <c r="M51" s="97"/>
      <c r="N51" s="97">
        <v>2026</v>
      </c>
      <c r="O51" s="258"/>
    </row>
    <row r="52" spans="2:15" customFormat="1">
      <c r="B52" s="104"/>
      <c r="C52" s="383" t="s">
        <v>411</v>
      </c>
      <c r="D52" s="378" t="e" cm="1">
        <f t="array" aca="1" ref="D5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2" s="99" t="s">
        <v>382</v>
      </c>
      <c r="F52" s="104" t="s">
        <v>350</v>
      </c>
      <c r="G52" s="99" t="s">
        <v>856</v>
      </c>
      <c r="H52" s="426" t="s">
        <v>345</v>
      </c>
      <c r="I52" s="435">
        <f>652725791-7936357</f>
        <v>644789434</v>
      </c>
      <c r="J52" s="153" t="s">
        <v>349</v>
      </c>
      <c r="K52" s="384" t="s">
        <v>857</v>
      </c>
      <c r="L52" s="412" t="s">
        <v>858</v>
      </c>
      <c r="M52" s="97"/>
      <c r="N52" s="97">
        <v>2026</v>
      </c>
      <c r="O52" s="258"/>
    </row>
    <row r="53" spans="2:15" customFormat="1">
      <c r="B53" s="104"/>
      <c r="C53" s="383" t="s">
        <v>411</v>
      </c>
      <c r="D53" s="378" t="e" cm="1">
        <f t="array" aca="1" ref="D5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3" s="99" t="s">
        <v>382</v>
      </c>
      <c r="F53" s="104" t="s">
        <v>350</v>
      </c>
      <c r="G53" s="99" t="s">
        <v>856</v>
      </c>
      <c r="H53" s="426" t="s">
        <v>348</v>
      </c>
      <c r="I53" s="435">
        <f>652725791-26885241</f>
        <v>625840550</v>
      </c>
      <c r="J53" s="153" t="s">
        <v>349</v>
      </c>
      <c r="K53" s="384" t="s">
        <v>857</v>
      </c>
      <c r="L53" s="412" t="s">
        <v>858</v>
      </c>
      <c r="M53" s="97"/>
      <c r="N53" s="97">
        <v>2026</v>
      </c>
      <c r="O53" s="258"/>
    </row>
    <row r="54" spans="2:15" customFormat="1">
      <c r="B54" s="104"/>
      <c r="C54" s="383" t="s">
        <v>411</v>
      </c>
      <c r="D54" s="378" t="e" cm="1">
        <f t="array" aca="1" ref="D5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4" s="99" t="s">
        <v>412</v>
      </c>
      <c r="F54" s="104" t="s">
        <v>350</v>
      </c>
      <c r="G54" s="99" t="s">
        <v>856</v>
      </c>
      <c r="H54" s="426" t="s">
        <v>342</v>
      </c>
      <c r="I54" s="435">
        <v>937178</v>
      </c>
      <c r="J54" s="153" t="s">
        <v>349</v>
      </c>
      <c r="K54" s="384" t="s">
        <v>857</v>
      </c>
      <c r="L54" s="412" t="s">
        <v>860</v>
      </c>
      <c r="M54" s="97"/>
      <c r="N54" s="97">
        <v>2026</v>
      </c>
      <c r="O54" s="258"/>
    </row>
    <row r="55" spans="2:15" customFormat="1">
      <c r="B55" s="104"/>
      <c r="C55" s="383" t="s">
        <v>411</v>
      </c>
      <c r="D55" s="378" t="e" cm="1">
        <f t="array" aca="1" ref="D5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5" s="99" t="s">
        <v>412</v>
      </c>
      <c r="F55" s="104" t="s">
        <v>350</v>
      </c>
      <c r="G55" s="99" t="s">
        <v>856</v>
      </c>
      <c r="H55" s="426" t="s">
        <v>345</v>
      </c>
      <c r="I55" s="435">
        <v>822888</v>
      </c>
      <c r="J55" s="153" t="s">
        <v>349</v>
      </c>
      <c r="K55" s="384" t="s">
        <v>857</v>
      </c>
      <c r="L55" s="412" t="s">
        <v>860</v>
      </c>
      <c r="M55" s="97"/>
      <c r="N55" s="97">
        <v>2026</v>
      </c>
      <c r="O55" s="258"/>
    </row>
    <row r="56" spans="2:15" customFormat="1">
      <c r="B56" s="104"/>
      <c r="C56" s="383" t="s">
        <v>411</v>
      </c>
      <c r="D56" s="378" t="e" cm="1">
        <f t="array" aca="1" ref="D5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6" s="99" t="s">
        <v>412</v>
      </c>
      <c r="F56" s="104" t="s">
        <v>350</v>
      </c>
      <c r="G56" s="99" t="s">
        <v>856</v>
      </c>
      <c r="H56" s="426" t="s">
        <v>348</v>
      </c>
      <c r="I56" s="435">
        <v>822888</v>
      </c>
      <c r="J56" s="153" t="s">
        <v>349</v>
      </c>
      <c r="K56" s="384" t="s">
        <v>857</v>
      </c>
      <c r="L56" s="412" t="s">
        <v>860</v>
      </c>
      <c r="M56" s="97"/>
      <c r="N56" s="97">
        <v>2026</v>
      </c>
      <c r="O56" s="258"/>
    </row>
    <row r="57" spans="2:15" customFormat="1">
      <c r="B57" s="104"/>
      <c r="C57" s="383" t="s">
        <v>411</v>
      </c>
      <c r="D57" s="378" t="e" cm="1">
        <f t="array" aca="1" ref="D5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7" s="99" t="s">
        <v>412</v>
      </c>
      <c r="F57" s="104" t="s">
        <v>350</v>
      </c>
      <c r="G57" s="99" t="s">
        <v>856</v>
      </c>
      <c r="H57" s="426" t="s">
        <v>351</v>
      </c>
      <c r="I57" s="435">
        <v>822888</v>
      </c>
      <c r="J57" s="153" t="s">
        <v>349</v>
      </c>
      <c r="K57" s="384" t="s">
        <v>857</v>
      </c>
      <c r="L57" s="412" t="s">
        <v>860</v>
      </c>
      <c r="M57" s="97"/>
      <c r="N57" s="97">
        <v>2026</v>
      </c>
      <c r="O57" s="258"/>
    </row>
    <row r="58" spans="2:15" customFormat="1">
      <c r="B58" s="104"/>
      <c r="C58" s="383" t="s">
        <v>411</v>
      </c>
      <c r="D58" s="378" t="e" cm="1">
        <f t="array" aca="1" ref="D5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8" s="99" t="s">
        <v>859</v>
      </c>
      <c r="F58" s="104" t="s">
        <v>350</v>
      </c>
      <c r="G58" s="99" t="s">
        <v>856</v>
      </c>
      <c r="H58" s="426" t="s">
        <v>348</v>
      </c>
      <c r="I58" s="435">
        <v>94377907</v>
      </c>
      <c r="J58" s="153" t="s">
        <v>349</v>
      </c>
      <c r="K58" s="384" t="s">
        <v>857</v>
      </c>
      <c r="L58" s="412" t="s">
        <v>860</v>
      </c>
      <c r="M58" s="97"/>
      <c r="N58" s="97">
        <v>2026</v>
      </c>
      <c r="O58" s="258"/>
    </row>
    <row r="59" spans="2:15" customFormat="1">
      <c r="B59" s="104"/>
      <c r="C59" s="383" t="s">
        <v>411</v>
      </c>
      <c r="D59" s="378" t="e" cm="1">
        <f t="array" aca="1" ref="D5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9" s="99" t="s">
        <v>861</v>
      </c>
      <c r="F59" s="104" t="s">
        <v>350</v>
      </c>
      <c r="G59" s="99" t="s">
        <v>856</v>
      </c>
      <c r="H59" s="426" t="s">
        <v>348</v>
      </c>
      <c r="I59" s="435">
        <v>455189858</v>
      </c>
      <c r="J59" s="153" t="s">
        <v>349</v>
      </c>
      <c r="K59" s="384" t="s">
        <v>857</v>
      </c>
      <c r="L59" s="412" t="s">
        <v>860</v>
      </c>
      <c r="M59" s="97"/>
      <c r="N59" s="97">
        <v>2026</v>
      </c>
      <c r="O59" s="258"/>
    </row>
    <row r="60" spans="2:15" customFormat="1">
      <c r="B60" s="104"/>
      <c r="C60" s="383" t="s">
        <v>411</v>
      </c>
      <c r="D60" s="378" t="e" cm="1">
        <f t="array" aca="1" ref="D6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0" s="99" t="s">
        <v>384</v>
      </c>
      <c r="F60" s="104" t="s">
        <v>350</v>
      </c>
      <c r="G60" s="99" t="s">
        <v>856</v>
      </c>
      <c r="H60" s="426" t="s">
        <v>342</v>
      </c>
      <c r="I60" s="436">
        <v>14753263</v>
      </c>
      <c r="J60" s="153" t="s">
        <v>349</v>
      </c>
      <c r="K60" s="384" t="s">
        <v>857</v>
      </c>
      <c r="L60" s="412" t="s">
        <v>860</v>
      </c>
      <c r="M60" s="97"/>
      <c r="N60" s="97">
        <v>2026</v>
      </c>
      <c r="O60" s="258"/>
    </row>
    <row r="61" spans="2:15" customFormat="1">
      <c r="B61" s="104"/>
      <c r="C61" s="383" t="s">
        <v>411</v>
      </c>
      <c r="D61" s="378" t="e" cm="1">
        <f t="array" aca="1" ref="D6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1" s="99" t="s">
        <v>384</v>
      </c>
      <c r="F61" s="104" t="s">
        <v>350</v>
      </c>
      <c r="G61" s="99" t="s">
        <v>856</v>
      </c>
      <c r="H61" s="426" t="s">
        <v>345</v>
      </c>
      <c r="I61" s="436">
        <v>5654253</v>
      </c>
      <c r="J61" s="153" t="s">
        <v>349</v>
      </c>
      <c r="K61" s="384" t="s">
        <v>857</v>
      </c>
      <c r="L61" s="412" t="s">
        <v>860</v>
      </c>
      <c r="M61" s="97"/>
      <c r="N61" s="97">
        <v>2026</v>
      </c>
      <c r="O61" s="258"/>
    </row>
    <row r="62" spans="2:15" customFormat="1">
      <c r="B62" s="104"/>
      <c r="C62" s="383" t="s">
        <v>410</v>
      </c>
      <c r="D62" s="378" t="e" cm="1">
        <f t="array" aca="1" ref="D6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2" s="99" t="s">
        <v>382</v>
      </c>
      <c r="F62" s="104" t="s">
        <v>350</v>
      </c>
      <c r="G62" s="99" t="s">
        <v>856</v>
      </c>
      <c r="H62" s="426" t="s">
        <v>342</v>
      </c>
      <c r="I62" s="435">
        <f>304331903-14136191</f>
        <v>290195712</v>
      </c>
      <c r="J62" s="153" t="s">
        <v>349</v>
      </c>
      <c r="K62" s="384" t="s">
        <v>857</v>
      </c>
      <c r="L62" s="412" t="s">
        <v>858</v>
      </c>
      <c r="M62" s="97"/>
      <c r="N62" s="97">
        <v>2026</v>
      </c>
      <c r="O62" s="258"/>
    </row>
    <row r="63" spans="2:15" customFormat="1">
      <c r="B63" s="104"/>
      <c r="C63" s="383" t="s">
        <v>410</v>
      </c>
      <c r="D63" s="378" t="e" cm="1">
        <f t="array" aca="1" ref="D6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3" s="99" t="s">
        <v>382</v>
      </c>
      <c r="F63" s="104" t="s">
        <v>350</v>
      </c>
      <c r="G63" s="99" t="s">
        <v>856</v>
      </c>
      <c r="H63" s="426" t="s">
        <v>345</v>
      </c>
      <c r="I63" s="435">
        <f>323720226-17000000</f>
        <v>306720226</v>
      </c>
      <c r="J63" s="153" t="s">
        <v>349</v>
      </c>
      <c r="K63" s="384" t="s">
        <v>857</v>
      </c>
      <c r="L63" s="412" t="s">
        <v>858</v>
      </c>
      <c r="M63" s="97"/>
      <c r="N63" s="97">
        <v>2026</v>
      </c>
      <c r="O63" s="258"/>
    </row>
    <row r="64" spans="2:15" customFormat="1">
      <c r="B64" s="104"/>
      <c r="C64" s="383" t="s">
        <v>410</v>
      </c>
      <c r="D64" s="378" t="e" cm="1">
        <f t="array" aca="1" ref="D6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4" s="99" t="s">
        <v>382</v>
      </c>
      <c r="F64" s="104" t="s">
        <v>350</v>
      </c>
      <c r="G64" s="99" t="s">
        <v>856</v>
      </c>
      <c r="H64" s="426" t="s">
        <v>348</v>
      </c>
      <c r="I64" s="435">
        <f>325758212-16641599</f>
        <v>309116613</v>
      </c>
      <c r="J64" s="153" t="s">
        <v>349</v>
      </c>
      <c r="K64" s="384" t="s">
        <v>857</v>
      </c>
      <c r="L64" s="412" t="s">
        <v>858</v>
      </c>
      <c r="M64" s="97"/>
      <c r="N64" s="97">
        <v>2026</v>
      </c>
      <c r="O64" s="258"/>
    </row>
    <row r="65" spans="2:15" customFormat="1">
      <c r="B65" s="104"/>
      <c r="C65" s="383" t="s">
        <v>410</v>
      </c>
      <c r="D65" s="378" t="e" cm="1">
        <f t="array" aca="1" ref="D6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5" s="99" t="s">
        <v>859</v>
      </c>
      <c r="F65" s="104" t="s">
        <v>350</v>
      </c>
      <c r="G65" s="99" t="s">
        <v>856</v>
      </c>
      <c r="H65" s="426" t="s">
        <v>348</v>
      </c>
      <c r="I65" s="435">
        <v>20079942</v>
      </c>
      <c r="J65" s="153" t="s">
        <v>349</v>
      </c>
      <c r="K65" s="384" t="s">
        <v>857</v>
      </c>
      <c r="L65" s="412" t="s">
        <v>860</v>
      </c>
      <c r="M65" s="97"/>
      <c r="N65" s="97">
        <v>2026</v>
      </c>
      <c r="O65" s="258"/>
    </row>
    <row r="66" spans="2:15" customFormat="1">
      <c r="B66" s="104"/>
      <c r="C66" s="383" t="s">
        <v>410</v>
      </c>
      <c r="D66" s="378" t="e" cm="1">
        <f t="array" aca="1" ref="D6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6" s="99" t="s">
        <v>861</v>
      </c>
      <c r="F66" s="104" t="s">
        <v>350</v>
      </c>
      <c r="G66" s="99" t="s">
        <v>856</v>
      </c>
      <c r="H66" s="426" t="s">
        <v>348</v>
      </c>
      <c r="I66" s="435">
        <v>230300551</v>
      </c>
      <c r="J66" s="153" t="s">
        <v>349</v>
      </c>
      <c r="K66" s="384" t="s">
        <v>857</v>
      </c>
      <c r="L66" s="412" t="s">
        <v>860</v>
      </c>
      <c r="M66" s="97"/>
      <c r="N66" s="97">
        <v>2026</v>
      </c>
      <c r="O66" s="258"/>
    </row>
    <row r="67" spans="2:15" customFormat="1">
      <c r="B67" s="104"/>
      <c r="C67" s="383" t="s">
        <v>410</v>
      </c>
      <c r="D67" s="378" t="e" cm="1">
        <f t="array" aca="1" ref="D6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7" s="99" t="s">
        <v>384</v>
      </c>
      <c r="F67" s="104" t="s">
        <v>350</v>
      </c>
      <c r="G67" s="99" t="s">
        <v>856</v>
      </c>
      <c r="H67" s="426" t="s">
        <v>342</v>
      </c>
      <c r="I67" s="435">
        <v>2311775</v>
      </c>
      <c r="J67" s="153" t="s">
        <v>349</v>
      </c>
      <c r="K67" s="384" t="s">
        <v>857</v>
      </c>
      <c r="L67" s="412" t="s">
        <v>860</v>
      </c>
      <c r="M67" s="97"/>
      <c r="N67" s="97">
        <v>2026</v>
      </c>
      <c r="O67" s="258"/>
    </row>
    <row r="68" spans="2:15" customFormat="1">
      <c r="B68" s="104"/>
      <c r="C68" s="383" t="s">
        <v>420</v>
      </c>
      <c r="D68" s="378" t="e" cm="1">
        <f t="array" aca="1" ref="D6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8" s="99" t="s">
        <v>382</v>
      </c>
      <c r="F68" s="104" t="s">
        <v>350</v>
      </c>
      <c r="G68" s="99" t="s">
        <v>856</v>
      </c>
      <c r="H68" s="426" t="s">
        <v>342</v>
      </c>
      <c r="I68" s="435">
        <f>171528180+4429499</f>
        <v>175957679</v>
      </c>
      <c r="J68" s="153" t="s">
        <v>349</v>
      </c>
      <c r="K68" s="384" t="s">
        <v>857</v>
      </c>
      <c r="L68" s="412" t="s">
        <v>858</v>
      </c>
      <c r="M68" s="97"/>
      <c r="N68" s="97">
        <v>2026</v>
      </c>
      <c r="O68" s="258"/>
    </row>
    <row r="69" spans="2:15" customFormat="1">
      <c r="B69" s="104"/>
      <c r="C69" s="383" t="s">
        <v>420</v>
      </c>
      <c r="D69" s="378" t="e" cm="1">
        <f t="array" aca="1" ref="D6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9" s="99" t="s">
        <v>382</v>
      </c>
      <c r="F69" s="104" t="s">
        <v>350</v>
      </c>
      <c r="G69" s="99" t="s">
        <v>856</v>
      </c>
      <c r="H69" s="426" t="s">
        <v>345</v>
      </c>
      <c r="I69" s="435">
        <f>176326553+7094115</f>
        <v>183420668</v>
      </c>
      <c r="J69" s="153" t="s">
        <v>349</v>
      </c>
      <c r="K69" s="384" t="s">
        <v>857</v>
      </c>
      <c r="L69" s="412" t="s">
        <v>858</v>
      </c>
      <c r="M69" s="97"/>
      <c r="N69" s="97">
        <v>2026</v>
      </c>
      <c r="O69" s="258"/>
    </row>
    <row r="70" spans="2:15" customFormat="1">
      <c r="B70" s="104"/>
      <c r="C70" s="383" t="s">
        <v>420</v>
      </c>
      <c r="D70" s="378" t="e" cm="1">
        <f t="array" aca="1" ref="D7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70" s="99" t="s">
        <v>382</v>
      </c>
      <c r="F70" s="104" t="s">
        <v>350</v>
      </c>
      <c r="G70" s="99" t="s">
        <v>856</v>
      </c>
      <c r="H70" s="426" t="s">
        <v>348</v>
      </c>
      <c r="I70" s="435">
        <f>179575753+8265672</f>
        <v>187841425</v>
      </c>
      <c r="J70" s="153" t="s">
        <v>349</v>
      </c>
      <c r="K70" s="384" t="s">
        <v>857</v>
      </c>
      <c r="L70" s="412" t="s">
        <v>858</v>
      </c>
      <c r="M70" s="97"/>
      <c r="N70" s="97">
        <v>2026</v>
      </c>
      <c r="O70" s="258"/>
    </row>
    <row r="71" spans="2:15" customFormat="1">
      <c r="B71" s="104"/>
      <c r="C71" s="383" t="s">
        <v>420</v>
      </c>
      <c r="D71" s="378" t="e" cm="1">
        <f t="array" aca="1" ref="D7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71" s="99" t="s">
        <v>859</v>
      </c>
      <c r="F71" s="104" t="s">
        <v>350</v>
      </c>
      <c r="G71" s="99" t="s">
        <v>856</v>
      </c>
      <c r="H71" s="426" t="s">
        <v>348</v>
      </c>
      <c r="I71" s="435">
        <v>15968023</v>
      </c>
      <c r="J71" s="153" t="s">
        <v>349</v>
      </c>
      <c r="K71" s="384" t="s">
        <v>857</v>
      </c>
      <c r="L71" s="412" t="s">
        <v>860</v>
      </c>
      <c r="M71" s="97"/>
      <c r="N71" s="97">
        <v>2026</v>
      </c>
      <c r="O71" s="258"/>
    </row>
    <row r="72" spans="2:15" customFormat="1">
      <c r="B72" s="104"/>
      <c r="C72" s="383" t="s">
        <v>420</v>
      </c>
      <c r="D72" s="378" t="e" cm="1">
        <f t="array" aca="1" ref="D7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72" s="99" t="s">
        <v>861</v>
      </c>
      <c r="F72" s="104" t="s">
        <v>350</v>
      </c>
      <c r="G72" s="99" t="s">
        <v>856</v>
      </c>
      <c r="H72" s="426" t="s">
        <v>348</v>
      </c>
      <c r="I72" s="435">
        <v>102347632</v>
      </c>
      <c r="J72" s="153" t="s">
        <v>349</v>
      </c>
      <c r="K72" s="384" t="s">
        <v>857</v>
      </c>
      <c r="L72" s="412" t="s">
        <v>860</v>
      </c>
      <c r="M72" s="97"/>
      <c r="N72" s="97">
        <v>2026</v>
      </c>
      <c r="O72" s="258"/>
    </row>
    <row r="73" spans="2:15" customFormat="1">
      <c r="B73" s="104"/>
      <c r="C73" s="383" t="s">
        <v>420</v>
      </c>
      <c r="D73" s="378" t="e" cm="1">
        <f t="array" aca="1" ref="D7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73" s="99" t="s">
        <v>864</v>
      </c>
      <c r="F73" s="104" t="s">
        <v>350</v>
      </c>
      <c r="G73" s="99" t="s">
        <v>856</v>
      </c>
      <c r="H73" s="426" t="s">
        <v>345</v>
      </c>
      <c r="I73" s="435">
        <v>51820125</v>
      </c>
      <c r="J73" s="153" t="s">
        <v>349</v>
      </c>
      <c r="K73" s="384" t="s">
        <v>857</v>
      </c>
      <c r="L73" s="412" t="s">
        <v>860</v>
      </c>
      <c r="M73" s="97"/>
      <c r="N73" s="97">
        <v>2026</v>
      </c>
      <c r="O73" s="258"/>
    </row>
    <row r="74" spans="2:15" customFormat="1">
      <c r="B74" s="104"/>
      <c r="C74" s="383" t="s">
        <v>377</v>
      </c>
      <c r="D74" s="378" t="e" cm="1">
        <f t="array" aca="1" ref="D7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74" s="99" t="s">
        <v>382</v>
      </c>
      <c r="F74" s="104" t="s">
        <v>350</v>
      </c>
      <c r="G74" s="99" t="s">
        <v>856</v>
      </c>
      <c r="H74" s="426" t="s">
        <v>342</v>
      </c>
      <c r="I74" s="435">
        <f>26829832-2000000</f>
        <v>24829832</v>
      </c>
      <c r="J74" s="153" t="s">
        <v>349</v>
      </c>
      <c r="K74" s="384" t="s">
        <v>857</v>
      </c>
      <c r="L74" s="412" t="s">
        <v>858</v>
      </c>
      <c r="M74" s="97"/>
      <c r="N74" s="97">
        <v>2026</v>
      </c>
      <c r="O74" s="258"/>
    </row>
    <row r="75" spans="2:15" customFormat="1">
      <c r="B75" s="104"/>
      <c r="C75" s="383" t="s">
        <v>377</v>
      </c>
      <c r="D75" s="378" t="e" cm="1">
        <f t="array" aca="1" ref="D7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75" s="99" t="s">
        <v>382</v>
      </c>
      <c r="F75" s="104" t="s">
        <v>350</v>
      </c>
      <c r="G75" s="99" t="s">
        <v>856</v>
      </c>
      <c r="H75" s="426" t="s">
        <v>345</v>
      </c>
      <c r="I75" s="435">
        <f>26829832-2000000</f>
        <v>24829832</v>
      </c>
      <c r="J75" s="153" t="s">
        <v>349</v>
      </c>
      <c r="K75" s="384" t="s">
        <v>857</v>
      </c>
      <c r="L75" s="412" t="s">
        <v>858</v>
      </c>
      <c r="M75" s="97"/>
      <c r="N75" s="97">
        <v>2026</v>
      </c>
      <c r="O75" s="258"/>
    </row>
    <row r="76" spans="2:15" customFormat="1">
      <c r="B76" s="104"/>
      <c r="C76" s="383" t="s">
        <v>377</v>
      </c>
      <c r="D76" s="378" t="e" cm="1">
        <f t="array" aca="1" ref="D7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76" s="99" t="s">
        <v>382</v>
      </c>
      <c r="F76" s="104" t="s">
        <v>350</v>
      </c>
      <c r="G76" s="99" t="s">
        <v>856</v>
      </c>
      <c r="H76" s="426" t="s">
        <v>348</v>
      </c>
      <c r="I76" s="435">
        <f>26829832-1602110</f>
        <v>25227722</v>
      </c>
      <c r="J76" s="153" t="s">
        <v>349</v>
      </c>
      <c r="K76" s="384" t="s">
        <v>857</v>
      </c>
      <c r="L76" s="412" t="s">
        <v>858</v>
      </c>
      <c r="M76" s="97"/>
      <c r="N76" s="97">
        <v>2026</v>
      </c>
      <c r="O76" s="258"/>
    </row>
    <row r="77" spans="2:15" customFormat="1">
      <c r="B77" s="104"/>
      <c r="C77" s="383" t="s">
        <v>377</v>
      </c>
      <c r="D77" s="378" t="e" cm="1">
        <f t="array" aca="1" ref="D7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77" s="99" t="s">
        <v>859</v>
      </c>
      <c r="F77" s="104" t="s">
        <v>350</v>
      </c>
      <c r="G77" s="99" t="s">
        <v>856</v>
      </c>
      <c r="H77" s="426" t="s">
        <v>348</v>
      </c>
      <c r="I77" s="435">
        <v>3000000</v>
      </c>
      <c r="J77" s="153" t="s">
        <v>349</v>
      </c>
      <c r="K77" s="384" t="s">
        <v>857</v>
      </c>
      <c r="L77" s="412" t="s">
        <v>860</v>
      </c>
      <c r="M77" s="97"/>
      <c r="N77" s="97">
        <v>2026</v>
      </c>
      <c r="O77" s="258"/>
    </row>
    <row r="78" spans="2:15" customFormat="1">
      <c r="B78" s="104"/>
      <c r="C78" s="383" t="s">
        <v>377</v>
      </c>
      <c r="D78" s="378" t="e" cm="1">
        <f t="array" aca="1" ref="D7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78" s="99" t="s">
        <v>861</v>
      </c>
      <c r="F78" s="104" t="s">
        <v>350</v>
      </c>
      <c r="G78" s="99" t="s">
        <v>856</v>
      </c>
      <c r="H78" s="426" t="s">
        <v>348</v>
      </c>
      <c r="I78" s="435">
        <v>19866724</v>
      </c>
      <c r="J78" s="153" t="s">
        <v>349</v>
      </c>
      <c r="K78" s="384" t="s">
        <v>857</v>
      </c>
      <c r="L78" s="412" t="s">
        <v>860</v>
      </c>
      <c r="M78" s="97"/>
      <c r="N78" s="97">
        <v>2026</v>
      </c>
      <c r="O78" s="258"/>
    </row>
    <row r="79" spans="2:15" customFormat="1">
      <c r="B79" s="104"/>
      <c r="C79" s="383" t="s">
        <v>415</v>
      </c>
      <c r="D79" s="378" t="e" cm="1">
        <f t="array" aca="1" ref="D7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79" s="99" t="s">
        <v>382</v>
      </c>
      <c r="F79" s="104" t="s">
        <v>350</v>
      </c>
      <c r="G79" s="99" t="s">
        <v>856</v>
      </c>
      <c r="H79" s="426" t="s">
        <v>342</v>
      </c>
      <c r="I79" s="435">
        <f>167365613+289712</f>
        <v>167655325</v>
      </c>
      <c r="J79" s="153" t="s">
        <v>349</v>
      </c>
      <c r="K79" s="384" t="s">
        <v>857</v>
      </c>
      <c r="L79" s="412" t="s">
        <v>858</v>
      </c>
      <c r="M79" s="97"/>
      <c r="N79" s="97">
        <v>2026</v>
      </c>
      <c r="O79" s="258"/>
    </row>
    <row r="80" spans="2:15" customFormat="1">
      <c r="B80" s="104"/>
      <c r="C80" s="383" t="s">
        <v>415</v>
      </c>
      <c r="D80" s="378" t="e" cm="1">
        <f t="array" aca="1" ref="D8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80" s="99" t="s">
        <v>382</v>
      </c>
      <c r="F80" s="104" t="s">
        <v>350</v>
      </c>
      <c r="G80" s="99" t="s">
        <v>856</v>
      </c>
      <c r="H80" s="426" t="s">
        <v>345</v>
      </c>
      <c r="I80" s="435">
        <f>167365613+12240515</f>
        <v>179606128</v>
      </c>
      <c r="J80" s="153" t="s">
        <v>349</v>
      </c>
      <c r="K80" s="384" t="s">
        <v>857</v>
      </c>
      <c r="L80" s="412" t="s">
        <v>858</v>
      </c>
      <c r="M80" s="97"/>
      <c r="N80" s="97">
        <v>2026</v>
      </c>
      <c r="O80" s="258"/>
    </row>
    <row r="81" spans="2:15" customFormat="1">
      <c r="B81" s="104"/>
      <c r="C81" s="383" t="s">
        <v>415</v>
      </c>
      <c r="D81" s="378" t="e" cm="1">
        <f t="array" aca="1" ref="D8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81" s="99" t="s">
        <v>382</v>
      </c>
      <c r="F81" s="104" t="s">
        <v>350</v>
      </c>
      <c r="G81" s="99" t="s">
        <v>856</v>
      </c>
      <c r="H81" s="426" t="s">
        <v>348</v>
      </c>
      <c r="I81" s="435">
        <f>170912613-1154462</f>
        <v>169758151</v>
      </c>
      <c r="J81" s="153" t="s">
        <v>349</v>
      </c>
      <c r="K81" s="384" t="s">
        <v>857</v>
      </c>
      <c r="L81" s="412" t="s">
        <v>858</v>
      </c>
      <c r="M81" s="97"/>
      <c r="N81" s="97">
        <v>2026</v>
      </c>
      <c r="O81" s="258"/>
    </row>
    <row r="82" spans="2:15" customFormat="1">
      <c r="B82" s="104"/>
      <c r="C82" s="383" t="s">
        <v>415</v>
      </c>
      <c r="D82" s="378" t="e" cm="1">
        <f t="array" aca="1" ref="D8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82" s="99" t="s">
        <v>416</v>
      </c>
      <c r="F82" s="104" t="s">
        <v>350</v>
      </c>
      <c r="G82" s="99" t="s">
        <v>856</v>
      </c>
      <c r="H82" s="426" t="s">
        <v>342</v>
      </c>
      <c r="I82" s="435">
        <v>53389015</v>
      </c>
      <c r="J82" s="153" t="s">
        <v>349</v>
      </c>
      <c r="K82" s="384" t="s">
        <v>857</v>
      </c>
      <c r="L82" s="412" t="s">
        <v>860</v>
      </c>
      <c r="M82" s="97"/>
      <c r="N82" s="97">
        <v>2026</v>
      </c>
      <c r="O82" s="258"/>
    </row>
    <row r="83" spans="2:15" customFormat="1">
      <c r="B83" s="104"/>
      <c r="C83" s="383" t="s">
        <v>415</v>
      </c>
      <c r="D83" s="378" t="e" cm="1">
        <f t="array" aca="1" ref="D8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83" s="99" t="s">
        <v>416</v>
      </c>
      <c r="F83" s="104" t="s">
        <v>350</v>
      </c>
      <c r="G83" s="99" t="s">
        <v>856</v>
      </c>
      <c r="H83" s="426" t="s">
        <v>345</v>
      </c>
      <c r="I83" s="435">
        <v>46910850</v>
      </c>
      <c r="J83" s="153" t="s">
        <v>349</v>
      </c>
      <c r="K83" s="384" t="s">
        <v>857</v>
      </c>
      <c r="L83" s="412" t="s">
        <v>860</v>
      </c>
      <c r="M83" s="97"/>
      <c r="N83" s="97">
        <v>2026</v>
      </c>
      <c r="O83" s="258"/>
    </row>
    <row r="84" spans="2:15" customFormat="1">
      <c r="B84" s="104"/>
      <c r="C84" s="383" t="s">
        <v>415</v>
      </c>
      <c r="D84" s="378" t="e" cm="1">
        <f t="array" aca="1" ref="D8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84" s="99" t="s">
        <v>416</v>
      </c>
      <c r="F84" s="104" t="s">
        <v>350</v>
      </c>
      <c r="G84" s="99" t="s">
        <v>856</v>
      </c>
      <c r="H84" s="426" t="s">
        <v>348</v>
      </c>
      <c r="I84" s="435">
        <v>51825320</v>
      </c>
      <c r="J84" s="153" t="s">
        <v>349</v>
      </c>
      <c r="K84" s="384" t="s">
        <v>857</v>
      </c>
      <c r="L84" s="412" t="s">
        <v>860</v>
      </c>
      <c r="M84" s="97"/>
      <c r="N84" s="97">
        <v>2026</v>
      </c>
      <c r="O84" s="258"/>
    </row>
    <row r="85" spans="2:15" customFormat="1">
      <c r="B85" s="104"/>
      <c r="C85" s="383" t="s">
        <v>415</v>
      </c>
      <c r="D85" s="378" t="e" cm="1">
        <f t="array" aca="1" ref="D8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85" s="99" t="s">
        <v>385</v>
      </c>
      <c r="F85" s="104" t="s">
        <v>350</v>
      </c>
      <c r="G85" s="99" t="s">
        <v>856</v>
      </c>
      <c r="H85" s="426" t="s">
        <v>342</v>
      </c>
      <c r="I85" s="435">
        <v>1039000</v>
      </c>
      <c r="J85" s="153" t="s">
        <v>349</v>
      </c>
      <c r="K85" s="384" t="s">
        <v>857</v>
      </c>
      <c r="L85" s="412" t="s">
        <v>860</v>
      </c>
      <c r="M85" s="97"/>
      <c r="N85" s="97">
        <v>2026</v>
      </c>
      <c r="O85" s="258"/>
    </row>
    <row r="86" spans="2:15" customFormat="1">
      <c r="B86" s="104"/>
      <c r="C86" s="383" t="s">
        <v>415</v>
      </c>
      <c r="D86" s="378" t="e" cm="1">
        <f t="array" aca="1" ref="D8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86" s="99" t="s">
        <v>861</v>
      </c>
      <c r="F86" s="104" t="s">
        <v>350</v>
      </c>
      <c r="G86" s="99" t="s">
        <v>856</v>
      </c>
      <c r="H86" s="426" t="s">
        <v>348</v>
      </c>
      <c r="I86" s="435">
        <v>121962055</v>
      </c>
      <c r="J86" s="153" t="s">
        <v>349</v>
      </c>
      <c r="K86" s="384" t="s">
        <v>857</v>
      </c>
      <c r="L86" s="412" t="s">
        <v>860</v>
      </c>
      <c r="M86" s="97"/>
      <c r="N86" s="97">
        <v>2026</v>
      </c>
      <c r="O86" s="258"/>
    </row>
    <row r="87" spans="2:15" customFormat="1">
      <c r="B87" s="104"/>
      <c r="C87" s="383" t="s">
        <v>419</v>
      </c>
      <c r="D87" s="378" t="e" cm="1">
        <f t="array" aca="1" ref="D8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87" s="99" t="s">
        <v>382</v>
      </c>
      <c r="F87" s="104" t="s">
        <v>350</v>
      </c>
      <c r="G87" s="99" t="s">
        <v>856</v>
      </c>
      <c r="H87" s="427" t="s">
        <v>342</v>
      </c>
      <c r="I87" s="435">
        <v>17182612</v>
      </c>
      <c r="J87" s="303" t="s">
        <v>349</v>
      </c>
      <c r="K87" s="385" t="s">
        <v>857</v>
      </c>
      <c r="L87" s="451" t="s">
        <v>858</v>
      </c>
      <c r="M87" s="97"/>
      <c r="N87" s="97">
        <v>2026</v>
      </c>
      <c r="O87" s="258"/>
    </row>
    <row r="88" spans="2:15" customFormat="1">
      <c r="B88" s="104"/>
      <c r="C88" s="383" t="s">
        <v>419</v>
      </c>
      <c r="D88" s="378" t="e" cm="1">
        <f t="array" aca="1" ref="D8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88" s="99" t="s">
        <v>382</v>
      </c>
      <c r="F88" s="104" t="s">
        <v>350</v>
      </c>
      <c r="G88" s="99" t="s">
        <v>856</v>
      </c>
      <c r="H88" s="427" t="s">
        <v>345</v>
      </c>
      <c r="I88" s="435">
        <v>17182612</v>
      </c>
      <c r="J88" s="303" t="s">
        <v>349</v>
      </c>
      <c r="K88" s="385" t="s">
        <v>857</v>
      </c>
      <c r="L88" s="451" t="s">
        <v>858</v>
      </c>
      <c r="M88" s="97"/>
      <c r="N88" s="97">
        <v>2026</v>
      </c>
      <c r="O88" s="258"/>
    </row>
    <row r="89" spans="2:15" customFormat="1">
      <c r="B89" s="104"/>
      <c r="C89" s="383" t="s">
        <v>419</v>
      </c>
      <c r="D89" s="378" t="e" cm="1">
        <f t="array" aca="1" ref="D8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89" s="99" t="s">
        <v>382</v>
      </c>
      <c r="F89" s="104" t="s">
        <v>350</v>
      </c>
      <c r="G89" s="99" t="s">
        <v>856</v>
      </c>
      <c r="H89" s="427" t="s">
        <v>348</v>
      </c>
      <c r="I89" s="435">
        <v>17182612</v>
      </c>
      <c r="J89" s="303" t="s">
        <v>349</v>
      </c>
      <c r="K89" s="385" t="s">
        <v>857</v>
      </c>
      <c r="L89" s="451" t="s">
        <v>858</v>
      </c>
      <c r="M89" s="97"/>
      <c r="N89" s="97">
        <v>2026</v>
      </c>
      <c r="O89" s="258"/>
    </row>
    <row r="90" spans="2:15" customFormat="1">
      <c r="B90" s="104"/>
      <c r="C90" s="383" t="s">
        <v>419</v>
      </c>
      <c r="D90" s="378" t="e" cm="1">
        <f t="array" aca="1" ref="D9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90" s="99" t="s">
        <v>859</v>
      </c>
      <c r="F90" s="104" t="s">
        <v>350</v>
      </c>
      <c r="G90" s="99" t="s">
        <v>856</v>
      </c>
      <c r="H90" s="427" t="s">
        <v>348</v>
      </c>
      <c r="I90" s="435">
        <v>2760174</v>
      </c>
      <c r="J90" s="303" t="s">
        <v>349</v>
      </c>
      <c r="K90" s="385" t="s">
        <v>857</v>
      </c>
      <c r="L90" s="451" t="s">
        <v>860</v>
      </c>
      <c r="M90" s="97"/>
      <c r="N90" s="97">
        <v>2026</v>
      </c>
      <c r="O90" s="258"/>
    </row>
    <row r="91" spans="2:15" customFormat="1">
      <c r="B91" s="104"/>
      <c r="C91" s="383" t="s">
        <v>419</v>
      </c>
      <c r="D91" s="378" t="e" cm="1">
        <f t="array" aca="1" ref="D9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91" s="99" t="s">
        <v>861</v>
      </c>
      <c r="F91" s="104" t="s">
        <v>350</v>
      </c>
      <c r="G91" s="99" t="s">
        <v>856</v>
      </c>
      <c r="H91" s="427" t="s">
        <v>348</v>
      </c>
      <c r="I91" s="435">
        <v>12807729</v>
      </c>
      <c r="J91" s="303" t="s">
        <v>349</v>
      </c>
      <c r="K91" s="385" t="s">
        <v>857</v>
      </c>
      <c r="L91" s="451" t="s">
        <v>860</v>
      </c>
      <c r="M91" s="97"/>
      <c r="N91" s="97">
        <v>2026</v>
      </c>
      <c r="O91" s="258"/>
    </row>
    <row r="92" spans="2:15" customFormat="1">
      <c r="B92" s="104"/>
      <c r="C92" s="104" t="s">
        <v>424</v>
      </c>
      <c r="D92" s="378" t="e" cm="1">
        <f t="array" aca="1" ref="D9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92" s="99" t="s">
        <v>382</v>
      </c>
      <c r="F92" s="104" t="s">
        <v>350</v>
      </c>
      <c r="G92" s="99" t="s">
        <v>856</v>
      </c>
      <c r="H92" s="426" t="s">
        <v>348</v>
      </c>
      <c r="I92" s="435">
        <v>11498860</v>
      </c>
      <c r="J92" s="153" t="s">
        <v>349</v>
      </c>
      <c r="K92" s="384" t="s">
        <v>857</v>
      </c>
      <c r="L92" s="412" t="s">
        <v>858</v>
      </c>
      <c r="M92" s="97"/>
      <c r="N92" s="97">
        <v>2026</v>
      </c>
      <c r="O92" s="258"/>
    </row>
    <row r="93" spans="2:15" customFormat="1">
      <c r="B93" s="104"/>
      <c r="C93" s="104" t="s">
        <v>424</v>
      </c>
      <c r="D93" s="378" t="e" cm="1">
        <f t="array" aca="1" ref="D9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93" s="99" t="s">
        <v>861</v>
      </c>
      <c r="F93" s="104" t="s">
        <v>350</v>
      </c>
      <c r="G93" s="99" t="s">
        <v>856</v>
      </c>
      <c r="H93" s="426" t="s">
        <v>348</v>
      </c>
      <c r="I93" s="435">
        <v>8312000</v>
      </c>
      <c r="J93" s="153" t="s">
        <v>349</v>
      </c>
      <c r="K93" s="384" t="s">
        <v>857</v>
      </c>
      <c r="L93" s="412" t="s">
        <v>860</v>
      </c>
      <c r="M93" s="97"/>
      <c r="N93" s="97">
        <v>2026</v>
      </c>
      <c r="O93" s="258"/>
    </row>
    <row r="94" spans="2:15" customFormat="1">
      <c r="B94" s="104"/>
      <c r="C94" s="383" t="s">
        <v>413</v>
      </c>
      <c r="D94" s="378" t="e" cm="1">
        <f t="array" aca="1" ref="D9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94" s="99" t="s">
        <v>863</v>
      </c>
      <c r="F94" s="104" t="s">
        <v>350</v>
      </c>
      <c r="G94" s="99" t="s">
        <v>856</v>
      </c>
      <c r="H94" s="426" t="s">
        <v>351</v>
      </c>
      <c r="I94" s="435">
        <v>17125567</v>
      </c>
      <c r="J94" s="153" t="s">
        <v>346</v>
      </c>
      <c r="K94" s="384" t="s">
        <v>857</v>
      </c>
      <c r="L94" s="412" t="s">
        <v>860</v>
      </c>
      <c r="M94" s="97"/>
      <c r="N94" s="97">
        <v>2026</v>
      </c>
      <c r="O94" s="258"/>
    </row>
    <row r="95" spans="2:15" customFormat="1">
      <c r="B95" s="104"/>
      <c r="C95" s="383" t="s">
        <v>413</v>
      </c>
      <c r="D95" s="378" t="e" cm="1">
        <f t="array" aca="1" ref="D9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95" s="99" t="s">
        <v>862</v>
      </c>
      <c r="F95" s="104" t="s">
        <v>350</v>
      </c>
      <c r="G95" s="99" t="s">
        <v>856</v>
      </c>
      <c r="H95" s="426" t="s">
        <v>351</v>
      </c>
      <c r="I95" s="435">
        <v>10909500</v>
      </c>
      <c r="J95" s="153" t="s">
        <v>346</v>
      </c>
      <c r="K95" s="384" t="s">
        <v>857</v>
      </c>
      <c r="L95" s="412" t="s">
        <v>860</v>
      </c>
      <c r="M95" s="97"/>
      <c r="N95" s="97">
        <v>2026</v>
      </c>
      <c r="O95" s="258"/>
    </row>
    <row r="96" spans="2:15" customFormat="1">
      <c r="B96" s="104"/>
      <c r="C96" s="383" t="s">
        <v>415</v>
      </c>
      <c r="D96" s="378" t="e" cm="1">
        <f t="array" aca="1" ref="D9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96" s="99" t="s">
        <v>416</v>
      </c>
      <c r="F96" s="104" t="s">
        <v>350</v>
      </c>
      <c r="G96" s="99" t="s">
        <v>856</v>
      </c>
      <c r="H96" s="426" t="s">
        <v>351</v>
      </c>
      <c r="I96" s="436">
        <v>49814855</v>
      </c>
      <c r="J96" s="153" t="s">
        <v>346</v>
      </c>
      <c r="K96" s="384" t="s">
        <v>857</v>
      </c>
      <c r="L96" s="412" t="s">
        <v>860</v>
      </c>
      <c r="M96" s="97"/>
      <c r="N96" s="97">
        <v>2026</v>
      </c>
      <c r="O96" s="258"/>
    </row>
    <row r="97" spans="2:15" customFormat="1">
      <c r="B97" s="104"/>
      <c r="C97" s="383" t="s">
        <v>373</v>
      </c>
      <c r="D97" s="378" t="e" cm="1">
        <f t="array" aca="1" ref="D9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97" s="99" t="s">
        <v>384</v>
      </c>
      <c r="F97" s="104" t="s">
        <v>350</v>
      </c>
      <c r="G97" s="99" t="s">
        <v>856</v>
      </c>
      <c r="H97" s="426" t="s">
        <v>351</v>
      </c>
      <c r="I97" s="436">
        <v>61984677</v>
      </c>
      <c r="J97" s="153" t="s">
        <v>346</v>
      </c>
      <c r="K97" s="384" t="s">
        <v>857</v>
      </c>
      <c r="L97" s="412" t="s">
        <v>860</v>
      </c>
      <c r="M97" s="97"/>
      <c r="N97" s="97">
        <v>2026</v>
      </c>
      <c r="O97" s="258"/>
    </row>
    <row r="98" spans="2:15" customFormat="1">
      <c r="B98" s="104"/>
      <c r="C98" s="383" t="s">
        <v>411</v>
      </c>
      <c r="D98" s="378" t="e" cm="1">
        <f t="array" aca="1" ref="D9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98" s="99" t="s">
        <v>384</v>
      </c>
      <c r="F98" s="104" t="s">
        <v>350</v>
      </c>
      <c r="G98" s="99" t="s">
        <v>856</v>
      </c>
      <c r="H98" s="426" t="s">
        <v>351</v>
      </c>
      <c r="I98" s="436">
        <v>5311026</v>
      </c>
      <c r="J98" s="153" t="s">
        <v>346</v>
      </c>
      <c r="K98" s="384" t="s">
        <v>857</v>
      </c>
      <c r="L98" s="412" t="s">
        <v>860</v>
      </c>
      <c r="M98" s="97"/>
      <c r="N98" s="97">
        <v>2026</v>
      </c>
      <c r="O98" s="258"/>
    </row>
    <row r="99" spans="2:15" customFormat="1">
      <c r="B99" s="104"/>
      <c r="C99" s="383" t="s">
        <v>410</v>
      </c>
      <c r="D99" s="378" t="e" cm="1">
        <f t="array" aca="1" ref="D9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99" s="99" t="s">
        <v>384</v>
      </c>
      <c r="F99" s="104" t="s">
        <v>350</v>
      </c>
      <c r="G99" s="99" t="s">
        <v>856</v>
      </c>
      <c r="H99" s="426" t="s">
        <v>351</v>
      </c>
      <c r="I99" s="435">
        <f>575000*1039</f>
        <v>597425000</v>
      </c>
      <c r="J99" s="153" t="s">
        <v>346</v>
      </c>
      <c r="K99" s="384" t="s">
        <v>857</v>
      </c>
      <c r="L99" s="412" t="s">
        <v>860</v>
      </c>
      <c r="M99" s="97"/>
      <c r="N99" s="97">
        <v>2026</v>
      </c>
      <c r="O99" s="258"/>
    </row>
    <row r="100" spans="2:15" customFormat="1">
      <c r="B100" s="104"/>
      <c r="C100" s="383" t="s">
        <v>418</v>
      </c>
      <c r="D100" s="378" t="e" cm="1">
        <f t="array" aca="1" ref="D10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00" s="99" t="s">
        <v>384</v>
      </c>
      <c r="F100" s="104" t="s">
        <v>350</v>
      </c>
      <c r="G100" s="99" t="s">
        <v>856</v>
      </c>
      <c r="H100" s="426" t="s">
        <v>351</v>
      </c>
      <c r="I100" s="436">
        <v>2073586</v>
      </c>
      <c r="J100" s="153" t="s">
        <v>346</v>
      </c>
      <c r="K100" s="384" t="s">
        <v>857</v>
      </c>
      <c r="L100" s="412" t="s">
        <v>860</v>
      </c>
      <c r="M100" s="97"/>
      <c r="N100" s="97">
        <v>2026</v>
      </c>
      <c r="O100" s="258"/>
    </row>
    <row r="101" spans="2:15" customFormat="1">
      <c r="B101" s="104"/>
      <c r="C101" s="383" t="s">
        <v>373</v>
      </c>
      <c r="D101" s="378" t="e" cm="1">
        <f t="array" aca="1" ref="D10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01" s="99" t="s">
        <v>382</v>
      </c>
      <c r="F101" s="104" t="s">
        <v>350</v>
      </c>
      <c r="G101" s="99" t="s">
        <v>856</v>
      </c>
      <c r="H101" s="426" t="s">
        <v>351</v>
      </c>
      <c r="I101" s="435">
        <v>872733117</v>
      </c>
      <c r="J101" s="153" t="s">
        <v>349</v>
      </c>
      <c r="K101" s="384" t="s">
        <v>857</v>
      </c>
      <c r="L101" s="412" t="s">
        <v>858</v>
      </c>
      <c r="M101" s="97"/>
      <c r="N101" s="97">
        <v>2026</v>
      </c>
      <c r="O101" s="258"/>
    </row>
    <row r="102" spans="2:15" customFormat="1">
      <c r="B102" s="104"/>
      <c r="C102" s="383" t="s">
        <v>411</v>
      </c>
      <c r="D102" s="378" t="e" cm="1">
        <f t="array" aca="1" ref="D10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02" s="99" t="s">
        <v>382</v>
      </c>
      <c r="F102" s="104" t="s">
        <v>350</v>
      </c>
      <c r="G102" s="99" t="s">
        <v>856</v>
      </c>
      <c r="H102" s="426" t="s">
        <v>351</v>
      </c>
      <c r="I102" s="435">
        <v>664205364</v>
      </c>
      <c r="J102" s="153" t="s">
        <v>349</v>
      </c>
      <c r="K102" s="384" t="s">
        <v>857</v>
      </c>
      <c r="L102" s="412" t="s">
        <v>858</v>
      </c>
      <c r="M102" s="97"/>
      <c r="N102" s="97">
        <v>2026</v>
      </c>
      <c r="O102" s="258"/>
    </row>
    <row r="103" spans="2:15" customFormat="1">
      <c r="B103" s="104"/>
      <c r="C103" s="383" t="s">
        <v>415</v>
      </c>
      <c r="D103" s="378" t="e" cm="1">
        <f t="array" aca="1" ref="D10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03" s="99" t="s">
        <v>382</v>
      </c>
      <c r="F103" s="104" t="s">
        <v>350</v>
      </c>
      <c r="G103" s="99" t="s">
        <v>856</v>
      </c>
      <c r="H103" s="426" t="s">
        <v>351</v>
      </c>
      <c r="I103" s="435">
        <v>178204573</v>
      </c>
      <c r="J103" s="153" t="s">
        <v>349</v>
      </c>
      <c r="K103" s="384" t="s">
        <v>857</v>
      </c>
      <c r="L103" s="412" t="s">
        <v>858</v>
      </c>
      <c r="M103" s="97"/>
      <c r="N103" s="97">
        <v>2026</v>
      </c>
      <c r="O103" s="258"/>
    </row>
    <row r="104" spans="2:15" customFormat="1">
      <c r="B104" s="104"/>
      <c r="C104" s="383" t="s">
        <v>377</v>
      </c>
      <c r="D104" s="378" t="e" cm="1">
        <f t="array" aca="1" ref="D10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04" s="99" t="s">
        <v>382</v>
      </c>
      <c r="F104" s="104" t="s">
        <v>350</v>
      </c>
      <c r="G104" s="99" t="s">
        <v>856</v>
      </c>
      <c r="H104" s="426" t="s">
        <v>351</v>
      </c>
      <c r="I104" s="435">
        <v>27622955</v>
      </c>
      <c r="J104" s="153" t="s">
        <v>349</v>
      </c>
      <c r="K104" s="384" t="s">
        <v>857</v>
      </c>
      <c r="L104" s="412" t="s">
        <v>858</v>
      </c>
      <c r="M104" s="97"/>
      <c r="N104" s="97">
        <v>2026</v>
      </c>
      <c r="O104" s="258"/>
    </row>
    <row r="105" spans="2:15" customFormat="1">
      <c r="B105" s="104"/>
      <c r="C105" s="383" t="s">
        <v>422</v>
      </c>
      <c r="D105" s="378" t="e" cm="1">
        <f t="array" aca="1" ref="D10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05" s="99" t="s">
        <v>382</v>
      </c>
      <c r="F105" s="104" t="s">
        <v>350</v>
      </c>
      <c r="G105" s="99" t="s">
        <v>856</v>
      </c>
      <c r="H105" s="426" t="s">
        <v>351</v>
      </c>
      <c r="I105" s="435">
        <v>10625465</v>
      </c>
      <c r="J105" s="153" t="s">
        <v>349</v>
      </c>
      <c r="K105" s="384" t="s">
        <v>857</v>
      </c>
      <c r="L105" s="412" t="s">
        <v>858</v>
      </c>
      <c r="M105" s="97"/>
      <c r="N105" s="97">
        <v>2026</v>
      </c>
      <c r="O105" s="258"/>
    </row>
    <row r="106" spans="2:15" customFormat="1">
      <c r="B106" s="104"/>
      <c r="C106" s="383" t="s">
        <v>418</v>
      </c>
      <c r="D106" s="378" t="e" cm="1">
        <f t="array" aca="1" ref="D10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06" s="99" t="s">
        <v>382</v>
      </c>
      <c r="F106" s="104" t="s">
        <v>350</v>
      </c>
      <c r="G106" s="99" t="s">
        <v>856</v>
      </c>
      <c r="H106" s="426" t="s">
        <v>351</v>
      </c>
      <c r="I106" s="435">
        <v>29492295</v>
      </c>
      <c r="J106" s="153" t="s">
        <v>349</v>
      </c>
      <c r="K106" s="384" t="s">
        <v>857</v>
      </c>
      <c r="L106" s="412" t="s">
        <v>858</v>
      </c>
      <c r="M106" s="97"/>
      <c r="N106" s="97">
        <v>2026</v>
      </c>
      <c r="O106" s="258"/>
    </row>
    <row r="107" spans="2:15" customFormat="1">
      <c r="B107" s="104"/>
      <c r="C107" s="383" t="s">
        <v>410</v>
      </c>
      <c r="D107" s="378" t="e" cm="1">
        <f t="array" aca="1" ref="D10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07" s="99" t="s">
        <v>382</v>
      </c>
      <c r="F107" s="104" t="s">
        <v>350</v>
      </c>
      <c r="G107" s="99" t="s">
        <v>856</v>
      </c>
      <c r="H107" s="426" t="s">
        <v>351</v>
      </c>
      <c r="I107" s="435">
        <v>332569153</v>
      </c>
      <c r="J107" s="153" t="s">
        <v>349</v>
      </c>
      <c r="K107" s="384" t="s">
        <v>857</v>
      </c>
      <c r="L107" s="412" t="s">
        <v>858</v>
      </c>
      <c r="M107" s="97"/>
      <c r="N107" s="97">
        <v>2026</v>
      </c>
      <c r="O107" s="258"/>
    </row>
    <row r="108" spans="2:15" customFormat="1">
      <c r="B108" s="104"/>
      <c r="C108" s="383" t="s">
        <v>413</v>
      </c>
      <c r="D108" s="378" t="e" cm="1">
        <f t="array" aca="1" ref="D10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08" s="99" t="s">
        <v>382</v>
      </c>
      <c r="F108" s="104" t="s">
        <v>350</v>
      </c>
      <c r="G108" s="99" t="s">
        <v>856</v>
      </c>
      <c r="H108" s="426" t="s">
        <v>351</v>
      </c>
      <c r="I108" s="435">
        <v>630997314</v>
      </c>
      <c r="J108" s="153" t="s">
        <v>349</v>
      </c>
      <c r="K108" s="384" t="s">
        <v>857</v>
      </c>
      <c r="L108" s="412" t="s">
        <v>858</v>
      </c>
      <c r="M108" s="97"/>
      <c r="N108" s="97">
        <v>2026</v>
      </c>
      <c r="O108" s="258"/>
    </row>
    <row r="109" spans="2:15" customFormat="1">
      <c r="B109" s="104"/>
      <c r="C109" s="383" t="s">
        <v>413</v>
      </c>
      <c r="D109" s="378" t="e" cm="1">
        <f t="array" aca="1" ref="D10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09" s="99" t="s">
        <v>382</v>
      </c>
      <c r="F109" s="104" t="s">
        <v>350</v>
      </c>
      <c r="G109" s="99" t="s">
        <v>856</v>
      </c>
      <c r="H109" s="426" t="s">
        <v>351</v>
      </c>
      <c r="I109" s="435">
        <v>16698993</v>
      </c>
      <c r="J109" s="153" t="s">
        <v>349</v>
      </c>
      <c r="K109" s="384" t="s">
        <v>857</v>
      </c>
      <c r="L109" s="412" t="s">
        <v>858</v>
      </c>
      <c r="M109" s="97"/>
      <c r="N109" s="97">
        <v>2026</v>
      </c>
      <c r="O109" s="258"/>
    </row>
    <row r="110" spans="2:15" customFormat="1">
      <c r="B110" s="104"/>
      <c r="C110" s="383" t="s">
        <v>420</v>
      </c>
      <c r="D110" s="378" t="e" cm="1">
        <f t="array" aca="1" ref="D11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10" s="99" t="s">
        <v>382</v>
      </c>
      <c r="F110" s="104" t="s">
        <v>350</v>
      </c>
      <c r="G110" s="99" t="s">
        <v>856</v>
      </c>
      <c r="H110" s="426" t="s">
        <v>351</v>
      </c>
      <c r="I110" s="435">
        <v>184474531</v>
      </c>
      <c r="J110" s="153" t="s">
        <v>349</v>
      </c>
      <c r="K110" s="384" t="s">
        <v>857</v>
      </c>
      <c r="L110" s="412" t="s">
        <v>858</v>
      </c>
      <c r="M110" s="97"/>
      <c r="N110" s="97">
        <v>2026</v>
      </c>
      <c r="O110" s="258"/>
    </row>
    <row r="111" spans="2:15" customFormat="1">
      <c r="B111" s="104"/>
      <c r="C111" s="383" t="s">
        <v>419</v>
      </c>
      <c r="D111" s="378" t="e" cm="1">
        <f t="array" aca="1" ref="D11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11" s="99" t="s">
        <v>382</v>
      </c>
      <c r="F111" s="104" t="s">
        <v>350</v>
      </c>
      <c r="G111" s="99" t="s">
        <v>856</v>
      </c>
      <c r="H111" s="427" t="s">
        <v>351</v>
      </c>
      <c r="I111" s="435">
        <v>17675779</v>
      </c>
      <c r="J111" s="303" t="s">
        <v>349</v>
      </c>
      <c r="K111" s="385" t="s">
        <v>857</v>
      </c>
      <c r="L111" s="451" t="s">
        <v>858</v>
      </c>
      <c r="M111" s="97"/>
      <c r="N111" s="97">
        <v>2026</v>
      </c>
      <c r="O111" s="258"/>
    </row>
    <row r="112" spans="2:15" customFormat="1">
      <c r="B112" s="104"/>
      <c r="C112" s="383" t="s">
        <v>423</v>
      </c>
      <c r="D112" s="378" t="e" cm="1">
        <f t="array" aca="1" ref="D11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12" s="99" t="s">
        <v>382</v>
      </c>
      <c r="F112" s="104" t="s">
        <v>350</v>
      </c>
      <c r="G112" s="99" t="s">
        <v>856</v>
      </c>
      <c r="H112" s="426" t="s">
        <v>351</v>
      </c>
      <c r="I112" s="435">
        <v>8544536</v>
      </c>
      <c r="J112" s="153" t="s">
        <v>349</v>
      </c>
      <c r="K112" s="384" t="s">
        <v>857</v>
      </c>
      <c r="L112" s="412" t="s">
        <v>858</v>
      </c>
      <c r="M112" s="97"/>
      <c r="N112" s="97">
        <v>2026</v>
      </c>
      <c r="O112" s="258"/>
    </row>
    <row r="113" spans="2:15" customFormat="1">
      <c r="B113" s="104"/>
      <c r="C113" s="383" t="s">
        <v>414</v>
      </c>
      <c r="D113" s="378" t="e" cm="1">
        <f t="array" aca="1" ref="D11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13" s="99" t="s">
        <v>382</v>
      </c>
      <c r="F113" s="104" t="s">
        <v>350</v>
      </c>
      <c r="G113" s="99" t="s">
        <v>856</v>
      </c>
      <c r="H113" s="426" t="s">
        <v>351</v>
      </c>
      <c r="I113" s="435">
        <v>8051854</v>
      </c>
      <c r="J113" s="153" t="s">
        <v>349</v>
      </c>
      <c r="K113" s="384" t="s">
        <v>857</v>
      </c>
      <c r="L113" s="412" t="s">
        <v>858</v>
      </c>
      <c r="M113" s="97"/>
      <c r="N113" s="97">
        <v>2026</v>
      </c>
      <c r="O113" s="258"/>
    </row>
    <row r="114" spans="2:15" customFormat="1">
      <c r="B114" s="104"/>
      <c r="C114" s="104" t="s">
        <v>424</v>
      </c>
      <c r="D114" s="378" t="e" cm="1">
        <f t="array" aca="1" ref="D11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14" s="99" t="s">
        <v>382</v>
      </c>
      <c r="F114" s="104" t="s">
        <v>350</v>
      </c>
      <c r="G114" s="99" t="s">
        <v>856</v>
      </c>
      <c r="H114" s="426" t="s">
        <v>351</v>
      </c>
      <c r="I114" s="435">
        <v>11498860</v>
      </c>
      <c r="J114" s="153" t="s">
        <v>349</v>
      </c>
      <c r="K114" s="384" t="s">
        <v>857</v>
      </c>
      <c r="L114" s="412" t="s">
        <v>858</v>
      </c>
      <c r="M114" s="97"/>
      <c r="N114" s="97">
        <v>2026</v>
      </c>
      <c r="O114" s="258"/>
    </row>
    <row r="115" spans="2:15" customFormat="1">
      <c r="B115" s="104"/>
      <c r="C115" s="383" t="s">
        <v>377</v>
      </c>
      <c r="D115" s="378" t="e" cm="1">
        <f t="array" aca="1" ref="D11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15" s="99" t="s">
        <v>865</v>
      </c>
      <c r="F115" s="104" t="s">
        <v>350</v>
      </c>
      <c r="G115" s="99" t="s">
        <v>856</v>
      </c>
      <c r="H115" s="426" t="s">
        <v>351</v>
      </c>
      <c r="I115" s="435">
        <v>2252165</v>
      </c>
      <c r="J115" s="153" t="s">
        <v>349</v>
      </c>
      <c r="K115" s="384" t="s">
        <v>857</v>
      </c>
      <c r="L115" s="412" t="s">
        <v>860</v>
      </c>
      <c r="M115" s="97"/>
      <c r="N115" s="97">
        <v>2026</v>
      </c>
      <c r="O115" s="258"/>
    </row>
    <row r="116" spans="2:15" customFormat="1">
      <c r="B116" s="104"/>
      <c r="C116" s="383" t="s">
        <v>410</v>
      </c>
      <c r="D116" s="378" t="e" cm="1">
        <f t="array" aca="1" ref="D11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16" s="99" t="s">
        <v>865</v>
      </c>
      <c r="F116" s="104" t="s">
        <v>350</v>
      </c>
      <c r="G116" s="99" t="s">
        <v>856</v>
      </c>
      <c r="H116" s="426" t="s">
        <v>351</v>
      </c>
      <c r="I116" s="435">
        <v>263362</v>
      </c>
      <c r="J116" s="153" t="s">
        <v>349</v>
      </c>
      <c r="K116" s="384" t="s">
        <v>857</v>
      </c>
      <c r="L116" s="412" t="s">
        <v>860</v>
      </c>
      <c r="M116" s="97"/>
      <c r="N116" s="97">
        <v>2026</v>
      </c>
      <c r="O116" s="258"/>
    </row>
    <row r="117" spans="2:15" customFormat="1">
      <c r="B117" s="104"/>
      <c r="C117" s="383" t="s">
        <v>411</v>
      </c>
      <c r="D117" s="378" t="e" cm="1">
        <f t="array" aca="1" ref="D11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17" s="99" t="s">
        <v>865</v>
      </c>
      <c r="F117" s="104" t="s">
        <v>350</v>
      </c>
      <c r="G117" s="99" t="s">
        <v>856</v>
      </c>
      <c r="H117" s="426" t="s">
        <v>351</v>
      </c>
      <c r="I117" s="435">
        <v>28975755</v>
      </c>
      <c r="J117" s="153" t="s">
        <v>349</v>
      </c>
      <c r="K117" s="384" t="s">
        <v>857</v>
      </c>
      <c r="L117" s="412" t="s">
        <v>860</v>
      </c>
      <c r="M117" s="97"/>
      <c r="N117" s="97">
        <v>2026</v>
      </c>
      <c r="O117" s="258"/>
    </row>
    <row r="118" spans="2:15" customFormat="1">
      <c r="B118" s="104"/>
      <c r="C118" s="383" t="s">
        <v>414</v>
      </c>
      <c r="D118" s="378" t="e" cm="1">
        <f t="array" aca="1" ref="D11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18" s="99" t="s">
        <v>865</v>
      </c>
      <c r="F118" s="104" t="s">
        <v>350</v>
      </c>
      <c r="G118" s="99" t="s">
        <v>856</v>
      </c>
      <c r="H118" s="426" t="s">
        <v>351</v>
      </c>
      <c r="I118" s="435">
        <v>1371480</v>
      </c>
      <c r="J118" s="153" t="s">
        <v>349</v>
      </c>
      <c r="K118" s="384" t="s">
        <v>857</v>
      </c>
      <c r="L118" s="412" t="s">
        <v>860</v>
      </c>
      <c r="M118" s="97"/>
      <c r="N118" s="97">
        <v>2026</v>
      </c>
      <c r="O118" s="258"/>
    </row>
    <row r="119" spans="2:15" customFormat="1">
      <c r="B119" s="104"/>
      <c r="C119" s="383" t="s">
        <v>415</v>
      </c>
      <c r="D119" s="378" t="e" cm="1">
        <f t="array" aca="1" ref="D11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19" s="99" t="s">
        <v>865</v>
      </c>
      <c r="F119" s="104" t="s">
        <v>350</v>
      </c>
      <c r="G119" s="99" t="s">
        <v>856</v>
      </c>
      <c r="H119" s="426" t="s">
        <v>351</v>
      </c>
      <c r="I119" s="435">
        <v>20772249</v>
      </c>
      <c r="J119" s="153" t="s">
        <v>349</v>
      </c>
      <c r="K119" s="384" t="s">
        <v>857</v>
      </c>
      <c r="L119" s="412" t="s">
        <v>860</v>
      </c>
      <c r="M119" s="97"/>
      <c r="N119" s="97">
        <v>2026</v>
      </c>
      <c r="O119" s="258"/>
    </row>
    <row r="120" spans="2:15" customFormat="1">
      <c r="B120" s="104"/>
      <c r="C120" s="383" t="s">
        <v>373</v>
      </c>
      <c r="D120" s="378" t="e" cm="1">
        <f t="array" aca="1" ref="D12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20" s="99" t="s">
        <v>865</v>
      </c>
      <c r="F120" s="104" t="s">
        <v>350</v>
      </c>
      <c r="G120" s="99" t="s">
        <v>856</v>
      </c>
      <c r="H120" s="426" t="s">
        <v>351</v>
      </c>
      <c r="I120" s="435">
        <v>27967831</v>
      </c>
      <c r="J120" s="153" t="s">
        <v>349</v>
      </c>
      <c r="K120" s="384" t="s">
        <v>857</v>
      </c>
      <c r="L120" s="412" t="s">
        <v>860</v>
      </c>
      <c r="M120" s="97"/>
      <c r="N120" s="97">
        <v>2026</v>
      </c>
      <c r="O120" s="258"/>
    </row>
    <row r="121" spans="2:15" customFormat="1">
      <c r="B121" s="104"/>
      <c r="C121" s="383" t="s">
        <v>419</v>
      </c>
      <c r="D121" s="378" t="e" cm="1">
        <f t="array" aca="1" ref="D12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21" s="99" t="s">
        <v>865</v>
      </c>
      <c r="F121" s="104" t="s">
        <v>350</v>
      </c>
      <c r="G121" s="99" t="s">
        <v>856</v>
      </c>
      <c r="H121" s="427" t="s">
        <v>351</v>
      </c>
      <c r="I121" s="435">
        <v>1340077</v>
      </c>
      <c r="J121" s="303" t="s">
        <v>349</v>
      </c>
      <c r="K121" s="385" t="s">
        <v>857</v>
      </c>
      <c r="L121" s="451" t="s">
        <v>860</v>
      </c>
      <c r="M121" s="97"/>
      <c r="N121" s="97">
        <v>2026</v>
      </c>
      <c r="O121" s="258"/>
    </row>
    <row r="122" spans="2:15" customFormat="1">
      <c r="B122" s="104"/>
      <c r="C122" s="383" t="s">
        <v>420</v>
      </c>
      <c r="D122" s="378" t="e" cm="1">
        <f t="array" aca="1" ref="D12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22" s="99" t="s">
        <v>865</v>
      </c>
      <c r="F122" s="104" t="s">
        <v>350</v>
      </c>
      <c r="G122" s="99" t="s">
        <v>856</v>
      </c>
      <c r="H122" s="426" t="s">
        <v>351</v>
      </c>
      <c r="I122" s="435">
        <v>13613864</v>
      </c>
      <c r="J122" s="153" t="s">
        <v>349</v>
      </c>
      <c r="K122" s="384" t="s">
        <v>857</v>
      </c>
      <c r="L122" s="412" t="s">
        <v>860</v>
      </c>
      <c r="M122" s="97"/>
      <c r="N122" s="97">
        <v>2026</v>
      </c>
      <c r="O122" s="258"/>
    </row>
    <row r="123" spans="2:15" customFormat="1">
      <c r="B123" s="104"/>
      <c r="C123" s="383" t="s">
        <v>423</v>
      </c>
      <c r="D123" s="378" t="e" cm="1">
        <f t="array" aca="1" ref="D12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23" s="400" t="s">
        <v>865</v>
      </c>
      <c r="F123" s="104" t="s">
        <v>350</v>
      </c>
      <c r="G123" s="99" t="s">
        <v>856</v>
      </c>
      <c r="H123" s="426" t="s">
        <v>351</v>
      </c>
      <c r="I123" s="435">
        <v>1384941</v>
      </c>
      <c r="J123" s="153" t="s">
        <v>349</v>
      </c>
      <c r="K123" s="384" t="s">
        <v>857</v>
      </c>
      <c r="L123" s="412" t="s">
        <v>860</v>
      </c>
      <c r="M123" s="97"/>
      <c r="N123" s="97">
        <v>2026</v>
      </c>
      <c r="O123" s="258"/>
    </row>
    <row r="124" spans="2:15" customFormat="1">
      <c r="B124" s="104"/>
      <c r="C124" s="383" t="s">
        <v>413</v>
      </c>
      <c r="D124" s="378" t="e" cm="1">
        <f t="array" aca="1" ref="D12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24" s="400" t="s">
        <v>865</v>
      </c>
      <c r="F124" s="104" t="s">
        <v>350</v>
      </c>
      <c r="G124" s="99" t="s">
        <v>856</v>
      </c>
      <c r="H124" s="426" t="s">
        <v>351</v>
      </c>
      <c r="I124" s="435">
        <v>56451485</v>
      </c>
      <c r="J124" s="153" t="s">
        <v>349</v>
      </c>
      <c r="K124" s="384" t="s">
        <v>857</v>
      </c>
      <c r="L124" s="412" t="s">
        <v>860</v>
      </c>
      <c r="M124" s="97"/>
      <c r="N124" s="97">
        <v>2026</v>
      </c>
      <c r="O124" s="258"/>
    </row>
    <row r="125" spans="2:15" customFormat="1">
      <c r="B125" s="104"/>
      <c r="C125" s="383" t="s">
        <v>373</v>
      </c>
      <c r="D125" s="378" t="e" cm="1">
        <f t="array" aca="1" ref="D12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25" s="99" t="s">
        <v>382</v>
      </c>
      <c r="F125" s="104" t="s">
        <v>350</v>
      </c>
      <c r="G125" s="99" t="s">
        <v>856</v>
      </c>
      <c r="H125" s="426" t="s">
        <v>353</v>
      </c>
      <c r="I125" s="435">
        <f>892197835+42383653</f>
        <v>934581488</v>
      </c>
      <c r="J125" s="153" t="s">
        <v>349</v>
      </c>
      <c r="K125" s="384" t="s">
        <v>857</v>
      </c>
      <c r="L125" s="412" t="s">
        <v>858</v>
      </c>
      <c r="M125" s="97"/>
      <c r="N125" s="97">
        <v>2026</v>
      </c>
      <c r="O125" s="258"/>
    </row>
    <row r="126" spans="2:15" customFormat="1">
      <c r="B126" s="104"/>
      <c r="C126" s="383" t="s">
        <v>411</v>
      </c>
      <c r="D126" s="378" t="e" cm="1">
        <f t="array" aca="1" ref="D12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26" s="99" t="s">
        <v>382</v>
      </c>
      <c r="F126" s="104" t="s">
        <v>350</v>
      </c>
      <c r="G126" s="99" t="s">
        <v>856</v>
      </c>
      <c r="H126" s="426" t="s">
        <v>353</v>
      </c>
      <c r="I126" s="435">
        <f>664205364-4853398</f>
        <v>659351966</v>
      </c>
      <c r="J126" s="153" t="s">
        <v>349</v>
      </c>
      <c r="K126" s="384" t="s">
        <v>857</v>
      </c>
      <c r="L126" s="412" t="s">
        <v>858</v>
      </c>
      <c r="M126" s="97"/>
      <c r="N126" s="97">
        <v>2026</v>
      </c>
      <c r="O126" s="258"/>
    </row>
    <row r="127" spans="2:15" customFormat="1">
      <c r="B127" s="104"/>
      <c r="C127" s="383" t="s">
        <v>415</v>
      </c>
      <c r="D127" s="378" t="e" cm="1">
        <f t="array" aca="1" ref="D12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27" s="99" t="s">
        <v>382</v>
      </c>
      <c r="F127" s="104" t="s">
        <v>350</v>
      </c>
      <c r="G127" s="99" t="s">
        <v>856</v>
      </c>
      <c r="H127" s="426" t="s">
        <v>353</v>
      </c>
      <c r="I127" s="435">
        <f>178204573+24875160</f>
        <v>203079733</v>
      </c>
      <c r="J127" s="153" t="s">
        <v>349</v>
      </c>
      <c r="K127" s="384" t="s">
        <v>857</v>
      </c>
      <c r="L127" s="412" t="s">
        <v>858</v>
      </c>
      <c r="M127" s="97"/>
      <c r="N127" s="97">
        <v>2026</v>
      </c>
      <c r="O127" s="258"/>
    </row>
    <row r="128" spans="2:15" customFormat="1">
      <c r="B128" s="104"/>
      <c r="C128" s="383" t="s">
        <v>377</v>
      </c>
      <c r="D128" s="378" t="e" cm="1">
        <f t="array" aca="1" ref="D12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28" s="99" t="s">
        <v>382</v>
      </c>
      <c r="F128" s="104" t="s">
        <v>350</v>
      </c>
      <c r="G128" s="99" t="s">
        <v>856</v>
      </c>
      <c r="H128" s="426" t="s">
        <v>353</v>
      </c>
      <c r="I128" s="435">
        <f>27622955-1674454</f>
        <v>25948501</v>
      </c>
      <c r="J128" s="153" t="s">
        <v>349</v>
      </c>
      <c r="K128" s="384" t="s">
        <v>857</v>
      </c>
      <c r="L128" s="412" t="s">
        <v>858</v>
      </c>
      <c r="M128" s="97"/>
      <c r="N128" s="97">
        <v>2026</v>
      </c>
      <c r="O128" s="258"/>
    </row>
    <row r="129" spans="2:15" customFormat="1">
      <c r="B129" s="104"/>
      <c r="C129" s="383" t="s">
        <v>422</v>
      </c>
      <c r="D129" s="378" t="e" cm="1">
        <f t="array" aca="1" ref="D12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29" s="99" t="s">
        <v>382</v>
      </c>
      <c r="F129" s="104" t="s">
        <v>350</v>
      </c>
      <c r="G129" s="99" t="s">
        <v>856</v>
      </c>
      <c r="H129" s="426" t="s">
        <v>353</v>
      </c>
      <c r="I129" s="435">
        <f>10625465+2890135</f>
        <v>13515600</v>
      </c>
      <c r="J129" s="153" t="s">
        <v>349</v>
      </c>
      <c r="K129" s="384" t="s">
        <v>857</v>
      </c>
      <c r="L129" s="412" t="s">
        <v>858</v>
      </c>
      <c r="M129" s="97"/>
      <c r="N129" s="97">
        <v>2026</v>
      </c>
      <c r="O129" s="258"/>
    </row>
    <row r="130" spans="2:15" customFormat="1">
      <c r="B130" s="104"/>
      <c r="C130" s="383" t="s">
        <v>418</v>
      </c>
      <c r="D130" s="378" t="e" cm="1">
        <f t="array" aca="1" ref="D13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30" s="99" t="s">
        <v>382</v>
      </c>
      <c r="F130" s="104" t="s">
        <v>350</v>
      </c>
      <c r="G130" s="99" t="s">
        <v>856</v>
      </c>
      <c r="H130" s="426" t="s">
        <v>353</v>
      </c>
      <c r="I130" s="435">
        <f>29492295-1066216</f>
        <v>28426079</v>
      </c>
      <c r="J130" s="153" t="s">
        <v>349</v>
      </c>
      <c r="K130" s="384" t="s">
        <v>857</v>
      </c>
      <c r="L130" s="412" t="s">
        <v>858</v>
      </c>
      <c r="M130" s="97"/>
      <c r="N130" s="97">
        <v>2026</v>
      </c>
      <c r="O130" s="258"/>
    </row>
    <row r="131" spans="2:15" customFormat="1">
      <c r="B131" s="104"/>
      <c r="C131" s="383" t="s">
        <v>410</v>
      </c>
      <c r="D131" s="378" t="e" cm="1">
        <f t="array" aca="1" ref="D13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31" s="99" t="s">
        <v>382</v>
      </c>
      <c r="F131" s="104" t="s">
        <v>350</v>
      </c>
      <c r="G131" s="99" t="s">
        <v>856</v>
      </c>
      <c r="H131" s="426" t="s">
        <v>353</v>
      </c>
      <c r="I131" s="435">
        <f>338125868-16601621</f>
        <v>321524247</v>
      </c>
      <c r="J131" s="153" t="s">
        <v>349</v>
      </c>
      <c r="K131" s="384" t="s">
        <v>857</v>
      </c>
      <c r="L131" s="412" t="s">
        <v>858</v>
      </c>
      <c r="M131" s="97"/>
      <c r="N131" s="97">
        <v>2026</v>
      </c>
      <c r="O131" s="258"/>
    </row>
    <row r="132" spans="2:15" customFormat="1">
      <c r="B132" s="104"/>
      <c r="C132" s="383" t="s">
        <v>413</v>
      </c>
      <c r="D132" s="378" t="e" cm="1">
        <f t="array" aca="1" ref="D13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32" s="99" t="s">
        <v>382</v>
      </c>
      <c r="F132" s="104" t="s">
        <v>350</v>
      </c>
      <c r="G132" s="99" t="s">
        <v>856</v>
      </c>
      <c r="H132" s="426" t="s">
        <v>353</v>
      </c>
      <c r="I132" s="435">
        <v>634263523</v>
      </c>
      <c r="J132" s="153" t="s">
        <v>349</v>
      </c>
      <c r="K132" s="384" t="s">
        <v>857</v>
      </c>
      <c r="L132" s="412" t="s">
        <v>858</v>
      </c>
      <c r="M132" s="97"/>
      <c r="N132" s="97">
        <v>2026</v>
      </c>
      <c r="O132" s="258"/>
    </row>
    <row r="133" spans="2:15" customFormat="1">
      <c r="B133" s="104"/>
      <c r="C133" s="383" t="s">
        <v>413</v>
      </c>
      <c r="D133" s="378" t="e" cm="1">
        <f t="array" aca="1" ref="D13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33" s="99" t="s">
        <v>382</v>
      </c>
      <c r="F133" s="104" t="s">
        <v>350</v>
      </c>
      <c r="G133" s="99" t="s">
        <v>856</v>
      </c>
      <c r="H133" s="426" t="s">
        <v>353</v>
      </c>
      <c r="I133" s="435">
        <v>12811334</v>
      </c>
      <c r="J133" s="153" t="s">
        <v>349</v>
      </c>
      <c r="K133" s="384" t="s">
        <v>857</v>
      </c>
      <c r="L133" s="412" t="s">
        <v>858</v>
      </c>
      <c r="M133" s="97"/>
      <c r="N133" s="97">
        <v>2026</v>
      </c>
      <c r="O133" s="258"/>
    </row>
    <row r="134" spans="2:15" customFormat="1">
      <c r="B134" s="104"/>
      <c r="C134" s="383" t="s">
        <v>420</v>
      </c>
      <c r="D134" s="378" t="e" cm="1">
        <f t="array" aca="1" ref="D13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34" s="99" t="s">
        <v>382</v>
      </c>
      <c r="F134" s="104" t="s">
        <v>350</v>
      </c>
      <c r="G134" s="99" t="s">
        <v>856</v>
      </c>
      <c r="H134" s="426" t="s">
        <v>353</v>
      </c>
      <c r="I134" s="435">
        <v>184474531</v>
      </c>
      <c r="J134" s="153" t="s">
        <v>349</v>
      </c>
      <c r="K134" s="384" t="s">
        <v>857</v>
      </c>
      <c r="L134" s="412" t="s">
        <v>858</v>
      </c>
      <c r="M134" s="97"/>
      <c r="N134" s="97">
        <v>2026</v>
      </c>
      <c r="O134" s="258"/>
    </row>
    <row r="135" spans="2:15" customFormat="1">
      <c r="B135" s="104"/>
      <c r="C135" s="383" t="s">
        <v>419</v>
      </c>
      <c r="D135" s="378" t="e" cm="1">
        <f t="array" aca="1" ref="D13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35" s="99" t="s">
        <v>382</v>
      </c>
      <c r="F135" s="104" t="s">
        <v>350</v>
      </c>
      <c r="G135" s="99" t="s">
        <v>856</v>
      </c>
      <c r="H135" s="427" t="s">
        <v>353</v>
      </c>
      <c r="I135" s="435">
        <v>17675779</v>
      </c>
      <c r="J135" s="303" t="s">
        <v>349</v>
      </c>
      <c r="K135" s="385" t="s">
        <v>857</v>
      </c>
      <c r="L135" s="451" t="s">
        <v>858</v>
      </c>
      <c r="M135" s="97"/>
      <c r="N135" s="97">
        <v>2026</v>
      </c>
      <c r="O135" s="258"/>
    </row>
    <row r="136" spans="2:15" customFormat="1">
      <c r="B136" s="104"/>
      <c r="C136" s="383" t="s">
        <v>423</v>
      </c>
      <c r="D136" s="378" t="e" cm="1">
        <f t="array" aca="1" ref="D13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36" s="99" t="s">
        <v>382</v>
      </c>
      <c r="F136" s="104" t="s">
        <v>350</v>
      </c>
      <c r="G136" s="99" t="s">
        <v>856</v>
      </c>
      <c r="H136" s="426" t="s">
        <v>353</v>
      </c>
      <c r="I136" s="435">
        <v>8544536</v>
      </c>
      <c r="J136" s="153" t="s">
        <v>349</v>
      </c>
      <c r="K136" s="384" t="s">
        <v>857</v>
      </c>
      <c r="L136" s="412" t="s">
        <v>858</v>
      </c>
      <c r="M136" s="97"/>
      <c r="N136" s="97">
        <v>2026</v>
      </c>
      <c r="O136" s="258"/>
    </row>
    <row r="137" spans="2:15" customFormat="1">
      <c r="B137" s="104"/>
      <c r="C137" s="383" t="s">
        <v>414</v>
      </c>
      <c r="D137" s="378" t="e" cm="1">
        <f t="array" aca="1" ref="D13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37" s="99" t="s">
        <v>382</v>
      </c>
      <c r="F137" s="104" t="s">
        <v>350</v>
      </c>
      <c r="G137" s="99" t="s">
        <v>856</v>
      </c>
      <c r="H137" s="426" t="s">
        <v>353</v>
      </c>
      <c r="I137" s="435">
        <v>8051854</v>
      </c>
      <c r="J137" s="153" t="s">
        <v>349</v>
      </c>
      <c r="K137" s="384" t="s">
        <v>857</v>
      </c>
      <c r="L137" s="412" t="s">
        <v>858</v>
      </c>
      <c r="M137" s="97"/>
      <c r="N137" s="97">
        <v>2026</v>
      </c>
      <c r="O137" s="258"/>
    </row>
    <row r="138" spans="2:15" customFormat="1">
      <c r="B138" s="104"/>
      <c r="C138" s="104" t="s">
        <v>424</v>
      </c>
      <c r="D138" s="378" t="e" cm="1">
        <f t="array" aca="1" ref="D13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38" s="99" t="s">
        <v>382</v>
      </c>
      <c r="F138" s="104" t="s">
        <v>350</v>
      </c>
      <c r="G138" s="99" t="s">
        <v>856</v>
      </c>
      <c r="H138" s="426" t="s">
        <v>353</v>
      </c>
      <c r="I138" s="435">
        <v>11548402</v>
      </c>
      <c r="J138" s="153" t="s">
        <v>349</v>
      </c>
      <c r="K138" s="384" t="s">
        <v>857</v>
      </c>
      <c r="L138" s="412" t="s">
        <v>858</v>
      </c>
      <c r="M138" s="97"/>
      <c r="N138" s="97">
        <v>2026</v>
      </c>
      <c r="O138" s="258"/>
    </row>
    <row r="139" spans="2:15" customFormat="1">
      <c r="B139" s="104"/>
      <c r="C139" s="104" t="s">
        <v>427</v>
      </c>
      <c r="D139" s="378" t="e" cm="1">
        <f t="array" aca="1" ref="D13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39" s="99" t="s">
        <v>382</v>
      </c>
      <c r="F139" s="104" t="s">
        <v>350</v>
      </c>
      <c r="G139" s="99" t="s">
        <v>856</v>
      </c>
      <c r="H139" s="426" t="s">
        <v>353</v>
      </c>
      <c r="I139" s="435">
        <v>10936721</v>
      </c>
      <c r="J139" s="153" t="s">
        <v>349</v>
      </c>
      <c r="K139" s="384" t="s">
        <v>857</v>
      </c>
      <c r="L139" s="412" t="s">
        <v>858</v>
      </c>
      <c r="M139" s="97"/>
      <c r="N139" s="97">
        <v>2026</v>
      </c>
      <c r="O139" s="258"/>
    </row>
    <row r="140" spans="2:15" customFormat="1">
      <c r="B140" s="104"/>
      <c r="C140" s="104" t="s">
        <v>425</v>
      </c>
      <c r="D140" s="378" t="e" cm="1">
        <f t="array" aca="1" ref="D14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40" s="400" t="s">
        <v>382</v>
      </c>
      <c r="F140" s="104" t="s">
        <v>350</v>
      </c>
      <c r="G140" s="99" t="s">
        <v>856</v>
      </c>
      <c r="H140" s="426" t="s">
        <v>353</v>
      </c>
      <c r="I140" s="435">
        <v>35554013</v>
      </c>
      <c r="J140" s="153" t="s">
        <v>349</v>
      </c>
      <c r="K140" s="384" t="s">
        <v>857</v>
      </c>
      <c r="L140" s="412" t="s">
        <v>858</v>
      </c>
      <c r="M140" s="97"/>
      <c r="N140" s="97">
        <v>2026</v>
      </c>
      <c r="O140" s="258"/>
    </row>
    <row r="141" spans="2:15" customFormat="1">
      <c r="B141" s="104"/>
      <c r="C141" s="383" t="s">
        <v>411</v>
      </c>
      <c r="D141" s="378" t="e" cm="1">
        <f t="array" aca="1" ref="D14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41" s="99" t="s">
        <v>412</v>
      </c>
      <c r="F141" s="104" t="s">
        <v>350</v>
      </c>
      <c r="G141" s="99" t="s">
        <v>856</v>
      </c>
      <c r="H141" s="426" t="s">
        <v>353</v>
      </c>
      <c r="I141" s="435">
        <v>822888</v>
      </c>
      <c r="J141" s="153" t="s">
        <v>346</v>
      </c>
      <c r="K141" s="384" t="s">
        <v>857</v>
      </c>
      <c r="L141" s="412" t="s">
        <v>860</v>
      </c>
      <c r="M141" s="97"/>
      <c r="N141" s="97">
        <v>2026</v>
      </c>
      <c r="O141" s="258"/>
    </row>
    <row r="142" spans="2:15" customFormat="1">
      <c r="B142" s="104"/>
      <c r="C142" s="383" t="s">
        <v>621</v>
      </c>
      <c r="D142" s="378" t="e" cm="1">
        <f t="array" aca="1" ref="D14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42" s="99" t="s">
        <v>866</v>
      </c>
      <c r="F142" s="104" t="s">
        <v>350</v>
      </c>
      <c r="G142" s="99" t="s">
        <v>856</v>
      </c>
      <c r="H142" s="426" t="s">
        <v>353</v>
      </c>
      <c r="I142" s="435">
        <v>25616545</v>
      </c>
      <c r="J142" s="153" t="s">
        <v>346</v>
      </c>
      <c r="K142" s="384" t="s">
        <v>857</v>
      </c>
      <c r="L142" s="412" t="s">
        <v>860</v>
      </c>
      <c r="M142" s="97"/>
      <c r="N142" s="97">
        <v>2026</v>
      </c>
      <c r="O142" s="258"/>
    </row>
    <row r="143" spans="2:15" customFormat="1">
      <c r="B143" s="104"/>
      <c r="C143" s="383" t="s">
        <v>413</v>
      </c>
      <c r="D143" s="378" t="e" cm="1">
        <f t="array" aca="1" ref="D14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43" s="99" t="s">
        <v>863</v>
      </c>
      <c r="F143" s="104" t="s">
        <v>350</v>
      </c>
      <c r="G143" s="99" t="s">
        <v>856</v>
      </c>
      <c r="H143" s="426" t="s">
        <v>353</v>
      </c>
      <c r="I143" s="435">
        <v>45176460</v>
      </c>
      <c r="J143" s="153" t="s">
        <v>343</v>
      </c>
      <c r="K143" s="384" t="s">
        <v>857</v>
      </c>
      <c r="L143" s="412" t="s">
        <v>860</v>
      </c>
      <c r="M143" s="97"/>
      <c r="N143" s="97">
        <v>2026</v>
      </c>
      <c r="O143" s="258"/>
    </row>
    <row r="144" spans="2:15" customFormat="1">
      <c r="B144" s="104"/>
      <c r="C144" s="383" t="s">
        <v>413</v>
      </c>
      <c r="D144" s="378" t="e" cm="1">
        <f t="array" aca="1" ref="D14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44" s="99" t="s">
        <v>862</v>
      </c>
      <c r="F144" s="104" t="s">
        <v>350</v>
      </c>
      <c r="G144" s="99" t="s">
        <v>856</v>
      </c>
      <c r="H144" s="426" t="s">
        <v>353</v>
      </c>
      <c r="I144" s="435">
        <v>10909500</v>
      </c>
      <c r="J144" s="153" t="s">
        <v>343</v>
      </c>
      <c r="K144" s="384" t="s">
        <v>857</v>
      </c>
      <c r="L144" s="412" t="s">
        <v>860</v>
      </c>
      <c r="M144" s="97"/>
      <c r="N144" s="97">
        <v>2026</v>
      </c>
      <c r="O144" s="258"/>
    </row>
    <row r="145" spans="2:15" customFormat="1">
      <c r="B145" s="104"/>
      <c r="C145" s="383" t="s">
        <v>415</v>
      </c>
      <c r="D145" s="378" t="e" cm="1">
        <f t="array" aca="1" ref="D14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45" s="99" t="s">
        <v>416</v>
      </c>
      <c r="F145" s="104" t="s">
        <v>350</v>
      </c>
      <c r="G145" s="99" t="s">
        <v>856</v>
      </c>
      <c r="H145" s="426" t="s">
        <v>353</v>
      </c>
      <c r="I145" s="435">
        <v>51601935</v>
      </c>
      <c r="J145" s="153" t="s">
        <v>343</v>
      </c>
      <c r="K145" s="384" t="s">
        <v>857</v>
      </c>
      <c r="L145" s="412" t="s">
        <v>860</v>
      </c>
      <c r="M145" s="97"/>
      <c r="N145" s="97">
        <v>2026</v>
      </c>
      <c r="O145" s="258"/>
    </row>
    <row r="146" spans="2:15" customFormat="1">
      <c r="B146" s="104"/>
      <c r="C146" s="383" t="s">
        <v>373</v>
      </c>
      <c r="D146" s="378" t="e" cm="1">
        <f t="array" aca="1" ref="D14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46" s="400" t="s">
        <v>384</v>
      </c>
      <c r="F146" s="104" t="s">
        <v>350</v>
      </c>
      <c r="G146" s="99" t="s">
        <v>856</v>
      </c>
      <c r="H146" s="426" t="s">
        <v>353</v>
      </c>
      <c r="I146" s="435">
        <v>48529974.611000001</v>
      </c>
      <c r="J146" s="153" t="s">
        <v>346</v>
      </c>
      <c r="K146" s="384" t="s">
        <v>857</v>
      </c>
      <c r="L146" s="412" t="s">
        <v>860</v>
      </c>
      <c r="M146" s="97"/>
      <c r="N146" s="97">
        <v>2026</v>
      </c>
      <c r="O146" s="258"/>
    </row>
    <row r="147" spans="2:15" customFormat="1">
      <c r="B147" s="104"/>
      <c r="C147" s="383" t="s">
        <v>411</v>
      </c>
      <c r="D147" s="378" t="e" cm="1">
        <f t="array" aca="1" ref="D14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47" s="400" t="s">
        <v>384</v>
      </c>
      <c r="F147" s="104" t="s">
        <v>350</v>
      </c>
      <c r="G147" s="99" t="s">
        <v>856</v>
      </c>
      <c r="H147" s="426" t="s">
        <v>353</v>
      </c>
      <c r="I147" s="435">
        <v>477940</v>
      </c>
      <c r="J147" s="153" t="s">
        <v>346</v>
      </c>
      <c r="K147" s="384" t="s">
        <v>857</v>
      </c>
      <c r="L147" s="412" t="s">
        <v>860</v>
      </c>
      <c r="M147" s="97"/>
      <c r="N147" s="97">
        <v>2026</v>
      </c>
      <c r="O147" s="258"/>
    </row>
    <row r="148" spans="2:15" customFormat="1">
      <c r="B148" s="104"/>
      <c r="C148" s="383" t="s">
        <v>413</v>
      </c>
      <c r="D148" s="378" t="e" cm="1">
        <f t="array" aca="1" ref="D14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48" s="400" t="s">
        <v>384</v>
      </c>
      <c r="F148" s="104" t="s">
        <v>350</v>
      </c>
      <c r="G148" s="99" t="s">
        <v>856</v>
      </c>
      <c r="H148" s="426" t="s">
        <v>353</v>
      </c>
      <c r="I148" s="435">
        <v>7366510</v>
      </c>
      <c r="J148" s="153" t="s">
        <v>346</v>
      </c>
      <c r="K148" s="384" t="s">
        <v>857</v>
      </c>
      <c r="L148" s="412" t="s">
        <v>860</v>
      </c>
      <c r="M148" s="97"/>
      <c r="N148" s="97">
        <v>2026</v>
      </c>
      <c r="O148" s="258"/>
    </row>
    <row r="149" spans="2:15" customFormat="1">
      <c r="B149" s="104"/>
      <c r="C149" s="383" t="s">
        <v>410</v>
      </c>
      <c r="D149" s="378" t="e" cm="1">
        <f t="array" aca="1" ref="D14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49" s="400" t="s">
        <v>384</v>
      </c>
      <c r="F149" s="104" t="s">
        <v>350</v>
      </c>
      <c r="G149" s="99" t="s">
        <v>856</v>
      </c>
      <c r="H149" s="426" t="s">
        <v>353</v>
      </c>
      <c r="I149" s="435">
        <v>4890947.04</v>
      </c>
      <c r="J149" s="153" t="s">
        <v>346</v>
      </c>
      <c r="K149" s="384" t="s">
        <v>857</v>
      </c>
      <c r="L149" s="412" t="s">
        <v>860</v>
      </c>
      <c r="M149" s="97"/>
      <c r="N149" s="97">
        <v>2026</v>
      </c>
      <c r="O149" s="258"/>
    </row>
    <row r="150" spans="2:15" customFormat="1">
      <c r="B150" s="104"/>
      <c r="C150" s="383" t="s">
        <v>418</v>
      </c>
      <c r="D150" s="378" t="e" cm="1">
        <f t="array" aca="1" ref="D15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50" s="400" t="s">
        <v>384</v>
      </c>
      <c r="F150" s="104" t="s">
        <v>350</v>
      </c>
      <c r="G150" s="99" t="s">
        <v>856</v>
      </c>
      <c r="H150" s="426" t="s">
        <v>353</v>
      </c>
      <c r="I150" s="435">
        <v>2137991.86</v>
      </c>
      <c r="J150" s="153" t="s">
        <v>346</v>
      </c>
      <c r="K150" s="384" t="s">
        <v>857</v>
      </c>
      <c r="L150" s="412" t="s">
        <v>860</v>
      </c>
      <c r="M150" s="97"/>
      <c r="N150" s="97">
        <v>2026</v>
      </c>
      <c r="O150" s="258"/>
    </row>
    <row r="151" spans="2:15" customFormat="1">
      <c r="B151" s="104"/>
      <c r="C151" s="383" t="s">
        <v>414</v>
      </c>
      <c r="D151" s="378" t="e" cm="1">
        <f t="array" aca="1" ref="D15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51" s="400" t="s">
        <v>384</v>
      </c>
      <c r="F151" s="104" t="s">
        <v>350</v>
      </c>
      <c r="G151" s="99" t="s">
        <v>856</v>
      </c>
      <c r="H151" s="426" t="s">
        <v>353</v>
      </c>
      <c r="I151" s="435">
        <v>935100</v>
      </c>
      <c r="J151" s="153" t="s">
        <v>346</v>
      </c>
      <c r="K151" s="384" t="s">
        <v>857</v>
      </c>
      <c r="L151" s="412" t="s">
        <v>860</v>
      </c>
      <c r="M151" s="97"/>
      <c r="N151" s="97">
        <v>2026</v>
      </c>
      <c r="O151" s="258"/>
    </row>
    <row r="152" spans="2:15" customFormat="1">
      <c r="B152" s="104"/>
      <c r="C152" s="383" t="s">
        <v>427</v>
      </c>
      <c r="D152" s="378" t="e" cm="1">
        <f t="array" aca="1" ref="D15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52" s="400" t="s">
        <v>384</v>
      </c>
      <c r="F152" s="104" t="s">
        <v>350</v>
      </c>
      <c r="G152" s="99" t="s">
        <v>856</v>
      </c>
      <c r="H152" s="426" t="s">
        <v>353</v>
      </c>
      <c r="I152" s="435">
        <v>597425</v>
      </c>
      <c r="J152" s="153" t="s">
        <v>346</v>
      </c>
      <c r="K152" s="384" t="s">
        <v>857</v>
      </c>
      <c r="L152" s="412" t="s">
        <v>860</v>
      </c>
      <c r="M152" s="97"/>
      <c r="N152" s="97">
        <v>2026</v>
      </c>
      <c r="O152" s="258"/>
    </row>
    <row r="153" spans="2:15" customFormat="1">
      <c r="B153" s="104"/>
      <c r="C153" s="383" t="s">
        <v>373</v>
      </c>
      <c r="D153" s="378" t="e" cm="1">
        <f t="array" aca="1" ref="D15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53" s="99" t="s">
        <v>859</v>
      </c>
      <c r="F153" s="104" t="s">
        <v>350</v>
      </c>
      <c r="G153" s="99" t="s">
        <v>856</v>
      </c>
      <c r="H153" s="426" t="s">
        <v>353</v>
      </c>
      <c r="I153" s="435">
        <v>120025848</v>
      </c>
      <c r="J153" s="153" t="s">
        <v>346</v>
      </c>
      <c r="K153" s="384" t="s">
        <v>857</v>
      </c>
      <c r="L153" s="412" t="s">
        <v>860</v>
      </c>
      <c r="M153" s="97"/>
      <c r="N153" s="97">
        <v>2026</v>
      </c>
      <c r="O153" s="258"/>
    </row>
    <row r="154" spans="2:15" customFormat="1">
      <c r="B154" s="104"/>
      <c r="C154" s="383" t="s">
        <v>411</v>
      </c>
      <c r="D154" s="378" t="e" cm="1">
        <f t="array" aca="1" ref="D15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54" s="99" t="s">
        <v>859</v>
      </c>
      <c r="F154" s="104" t="s">
        <v>350</v>
      </c>
      <c r="G154" s="99" t="s">
        <v>856</v>
      </c>
      <c r="H154" s="426" t="s">
        <v>353</v>
      </c>
      <c r="I154" s="435">
        <v>98949805</v>
      </c>
      <c r="J154" s="153" t="s">
        <v>346</v>
      </c>
      <c r="K154" s="384" t="s">
        <v>857</v>
      </c>
      <c r="L154" s="412" t="s">
        <v>860</v>
      </c>
      <c r="M154" s="97"/>
      <c r="N154" s="97">
        <v>2026</v>
      </c>
      <c r="O154" s="258"/>
    </row>
    <row r="155" spans="2:15" customFormat="1">
      <c r="B155" s="104"/>
      <c r="C155" s="383" t="s">
        <v>410</v>
      </c>
      <c r="D155" s="378" t="e" cm="1">
        <f t="array" aca="1" ref="D15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55" s="99" t="s">
        <v>859</v>
      </c>
      <c r="F155" s="104" t="s">
        <v>350</v>
      </c>
      <c r="G155" s="99" t="s">
        <v>856</v>
      </c>
      <c r="H155" s="426" t="s">
        <v>353</v>
      </c>
      <c r="I155" s="435">
        <v>22655894</v>
      </c>
      <c r="J155" s="153" t="s">
        <v>346</v>
      </c>
      <c r="K155" s="384" t="s">
        <v>857</v>
      </c>
      <c r="L155" s="412" t="s">
        <v>860</v>
      </c>
      <c r="M155" s="97"/>
      <c r="N155" s="97">
        <v>2026</v>
      </c>
      <c r="O155" s="258"/>
    </row>
    <row r="156" spans="2:15" customFormat="1">
      <c r="B156" s="104"/>
      <c r="C156" s="383" t="s">
        <v>420</v>
      </c>
      <c r="D156" s="378" t="e" cm="1">
        <f t="array" aca="1" ref="D15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56" s="99" t="s">
        <v>859</v>
      </c>
      <c r="F156" s="104" t="s">
        <v>350</v>
      </c>
      <c r="G156" s="99" t="s">
        <v>856</v>
      </c>
      <c r="H156" s="426" t="s">
        <v>353</v>
      </c>
      <c r="I156" s="435">
        <v>18479967</v>
      </c>
      <c r="J156" s="153" t="s">
        <v>346</v>
      </c>
      <c r="K156" s="384" t="s">
        <v>857</v>
      </c>
      <c r="L156" s="412" t="s">
        <v>860</v>
      </c>
      <c r="M156" s="97"/>
      <c r="N156" s="97">
        <v>2026</v>
      </c>
      <c r="O156" s="258"/>
    </row>
    <row r="157" spans="2:15" customFormat="1">
      <c r="B157" s="104"/>
      <c r="C157" s="383" t="s">
        <v>419</v>
      </c>
      <c r="D157" s="378" t="e" cm="1">
        <f t="array" aca="1" ref="D15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57" s="99" t="s">
        <v>859</v>
      </c>
      <c r="F157" s="104" t="s">
        <v>350</v>
      </c>
      <c r="G157" s="99" t="s">
        <v>856</v>
      </c>
      <c r="H157" s="427" t="s">
        <v>353</v>
      </c>
      <c r="I157" s="435">
        <v>3117000</v>
      </c>
      <c r="J157" s="303" t="s">
        <v>346</v>
      </c>
      <c r="K157" s="385" t="s">
        <v>857</v>
      </c>
      <c r="L157" s="451" t="s">
        <v>860</v>
      </c>
      <c r="M157" s="97"/>
      <c r="N157" s="97">
        <v>2026</v>
      </c>
      <c r="O157" s="258"/>
    </row>
    <row r="158" spans="2:15" customFormat="1">
      <c r="B158" s="104"/>
      <c r="C158" s="383" t="s">
        <v>423</v>
      </c>
      <c r="D158" s="378" t="e" cm="1">
        <f t="array" aca="1" ref="D15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58" s="99" t="s">
        <v>859</v>
      </c>
      <c r="F158" s="104" t="s">
        <v>350</v>
      </c>
      <c r="G158" s="99" t="s">
        <v>856</v>
      </c>
      <c r="H158" s="426" t="s">
        <v>353</v>
      </c>
      <c r="I158" s="435">
        <v>1558500</v>
      </c>
      <c r="J158" s="153" t="s">
        <v>346</v>
      </c>
      <c r="K158" s="384" t="s">
        <v>857</v>
      </c>
      <c r="L158" s="412" t="s">
        <v>860</v>
      </c>
      <c r="M158" s="97"/>
      <c r="N158" s="97">
        <v>2026</v>
      </c>
      <c r="O158" s="258"/>
    </row>
    <row r="159" spans="2:15" customFormat="1">
      <c r="B159" s="104"/>
      <c r="C159" s="383" t="s">
        <v>422</v>
      </c>
      <c r="D159" s="378" t="e" cm="1">
        <f t="array" aca="1" ref="D15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59" s="99" t="s">
        <v>859</v>
      </c>
      <c r="F159" s="104" t="s">
        <v>350</v>
      </c>
      <c r="G159" s="99" t="s">
        <v>856</v>
      </c>
      <c r="H159" s="426" t="s">
        <v>353</v>
      </c>
      <c r="I159" s="435">
        <v>1558500</v>
      </c>
      <c r="J159" s="153" t="s">
        <v>346</v>
      </c>
      <c r="K159" s="384" t="s">
        <v>857</v>
      </c>
      <c r="L159" s="412" t="s">
        <v>860</v>
      </c>
      <c r="M159" s="97"/>
      <c r="N159" s="97">
        <v>2026</v>
      </c>
      <c r="O159" s="258"/>
    </row>
    <row r="160" spans="2:15" customFormat="1">
      <c r="B160" s="104"/>
      <c r="C160" s="383" t="s">
        <v>418</v>
      </c>
      <c r="D160" s="378" t="e" cm="1">
        <f t="array" aca="1" ref="D16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60" s="99" t="s">
        <v>859</v>
      </c>
      <c r="F160" s="104" t="s">
        <v>350</v>
      </c>
      <c r="G160" s="99" t="s">
        <v>856</v>
      </c>
      <c r="H160" s="426" t="s">
        <v>353</v>
      </c>
      <c r="I160" s="435">
        <v>4675500</v>
      </c>
      <c r="J160" s="153" t="s">
        <v>346</v>
      </c>
      <c r="K160" s="384" t="s">
        <v>857</v>
      </c>
      <c r="L160" s="412" t="s">
        <v>860</v>
      </c>
      <c r="M160" s="97"/>
      <c r="N160" s="97">
        <v>2026</v>
      </c>
      <c r="O160" s="258"/>
    </row>
    <row r="161" spans="2:15" customFormat="1">
      <c r="B161" s="104"/>
      <c r="C161" s="383" t="s">
        <v>377</v>
      </c>
      <c r="D161" s="378" t="e" cm="1">
        <f t="array" aca="1" ref="D16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61" s="99" t="s">
        <v>859</v>
      </c>
      <c r="F161" s="104" t="s">
        <v>350</v>
      </c>
      <c r="G161" s="99" t="s">
        <v>856</v>
      </c>
      <c r="H161" s="426" t="s">
        <v>353</v>
      </c>
      <c r="I161" s="435">
        <v>3117000</v>
      </c>
      <c r="J161" s="153" t="s">
        <v>346</v>
      </c>
      <c r="K161" s="384" t="s">
        <v>857</v>
      </c>
      <c r="L161" s="412" t="s">
        <v>860</v>
      </c>
      <c r="M161" s="97"/>
      <c r="N161" s="97">
        <v>2026</v>
      </c>
      <c r="O161" s="258"/>
    </row>
    <row r="162" spans="2:15" customFormat="1">
      <c r="B162" s="104"/>
      <c r="C162" s="383" t="s">
        <v>551</v>
      </c>
      <c r="D162" s="378" t="e" cm="1">
        <f t="array" aca="1" ref="D16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62" s="99" t="s">
        <v>859</v>
      </c>
      <c r="F162" s="104" t="s">
        <v>350</v>
      </c>
      <c r="G162" s="99" t="s">
        <v>856</v>
      </c>
      <c r="H162" s="426" t="s">
        <v>353</v>
      </c>
      <c r="I162" s="435">
        <v>230573</v>
      </c>
      <c r="J162" s="153" t="s">
        <v>346</v>
      </c>
      <c r="K162" s="384" t="s">
        <v>857</v>
      </c>
      <c r="L162" s="412" t="s">
        <v>860</v>
      </c>
      <c r="M162" s="97"/>
      <c r="N162" s="97">
        <v>2026</v>
      </c>
      <c r="O162" s="258"/>
    </row>
    <row r="163" spans="2:15" customFormat="1">
      <c r="B163" s="104"/>
      <c r="C163" s="383" t="s">
        <v>427</v>
      </c>
      <c r="D163" s="378" t="e" cm="1">
        <f t="array" aca="1" ref="D16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63" s="99" t="s">
        <v>859</v>
      </c>
      <c r="F163" s="104" t="s">
        <v>350</v>
      </c>
      <c r="G163" s="99" t="s">
        <v>856</v>
      </c>
      <c r="H163" s="426" t="s">
        <v>353</v>
      </c>
      <c r="I163" s="435">
        <v>93937</v>
      </c>
      <c r="J163" s="153" t="s">
        <v>346</v>
      </c>
      <c r="K163" s="384" t="s">
        <v>857</v>
      </c>
      <c r="L163" s="412" t="s">
        <v>860</v>
      </c>
      <c r="M163" s="97"/>
      <c r="N163" s="97">
        <v>2026</v>
      </c>
      <c r="O163" s="258"/>
    </row>
    <row r="164" spans="2:15" customFormat="1">
      <c r="B164" s="104"/>
      <c r="C164" s="383" t="s">
        <v>424</v>
      </c>
      <c r="D164" s="378" t="e" cm="1">
        <f t="array" aca="1" ref="D16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64" s="99" t="s">
        <v>859</v>
      </c>
      <c r="F164" s="104" t="s">
        <v>350</v>
      </c>
      <c r="G164" s="99" t="s">
        <v>856</v>
      </c>
      <c r="H164" s="426" t="s">
        <v>353</v>
      </c>
      <c r="I164" s="435">
        <v>354399</v>
      </c>
      <c r="J164" s="153" t="s">
        <v>346</v>
      </c>
      <c r="K164" s="384" t="s">
        <v>857</v>
      </c>
      <c r="L164" s="412" t="s">
        <v>860</v>
      </c>
      <c r="M164" s="97"/>
      <c r="N164" s="97">
        <v>2026</v>
      </c>
      <c r="O164" s="258"/>
    </row>
    <row r="165" spans="2:15" customFormat="1">
      <c r="B165" s="104"/>
      <c r="C165" s="383" t="s">
        <v>373</v>
      </c>
      <c r="D165" s="378" t="e" cm="1">
        <f t="array" aca="1" ref="D16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65" s="99" t="s">
        <v>867</v>
      </c>
      <c r="F165" s="104" t="s">
        <v>350</v>
      </c>
      <c r="G165" s="99" t="s">
        <v>856</v>
      </c>
      <c r="H165" s="426" t="s">
        <v>348</v>
      </c>
      <c r="I165" s="435">
        <v>124105360</v>
      </c>
      <c r="J165" s="153" t="s">
        <v>349</v>
      </c>
      <c r="K165" s="384" t="s">
        <v>857</v>
      </c>
      <c r="L165" s="412" t="s">
        <v>860</v>
      </c>
      <c r="M165" s="97"/>
      <c r="N165" s="97">
        <v>2026</v>
      </c>
      <c r="O165" s="258"/>
    </row>
    <row r="166" spans="2:15" customFormat="1">
      <c r="B166" s="104"/>
      <c r="C166" s="383" t="s">
        <v>411</v>
      </c>
      <c r="D166" s="378" t="e" cm="1">
        <f t="array" aca="1" ref="D16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66" s="99" t="s">
        <v>867</v>
      </c>
      <c r="F166" s="104" t="s">
        <v>350</v>
      </c>
      <c r="G166" s="99" t="s">
        <v>856</v>
      </c>
      <c r="H166" s="426" t="s">
        <v>348</v>
      </c>
      <c r="I166" s="435">
        <v>66658176</v>
      </c>
      <c r="J166" s="153" t="s">
        <v>349</v>
      </c>
      <c r="K166" s="384" t="s">
        <v>857</v>
      </c>
      <c r="L166" s="412" t="s">
        <v>860</v>
      </c>
      <c r="M166" s="97"/>
      <c r="N166" s="97">
        <v>2026</v>
      </c>
      <c r="O166" s="258"/>
    </row>
    <row r="167" spans="2:15" customFormat="1">
      <c r="B167" s="104"/>
      <c r="C167" s="383" t="s">
        <v>415</v>
      </c>
      <c r="D167" s="378" t="e" cm="1">
        <f t="array" aca="1" ref="D16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67" s="99" t="s">
        <v>867</v>
      </c>
      <c r="F167" s="104" t="s">
        <v>350</v>
      </c>
      <c r="G167" s="99" t="s">
        <v>856</v>
      </c>
      <c r="H167" s="426" t="s">
        <v>348</v>
      </c>
      <c r="I167" s="435">
        <v>60807985</v>
      </c>
      <c r="J167" s="153" t="s">
        <v>349</v>
      </c>
      <c r="K167" s="384" t="s">
        <v>857</v>
      </c>
      <c r="L167" s="412" t="s">
        <v>860</v>
      </c>
      <c r="M167" s="97"/>
      <c r="N167" s="97">
        <v>2026</v>
      </c>
      <c r="O167" s="258"/>
    </row>
    <row r="168" spans="2:15" customFormat="1">
      <c r="B168" s="104"/>
      <c r="C168" s="383" t="s">
        <v>410</v>
      </c>
      <c r="D168" s="378" t="e" cm="1">
        <f t="array" aca="1" ref="D16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68" s="99" t="s">
        <v>867</v>
      </c>
      <c r="F168" s="104" t="s">
        <v>350</v>
      </c>
      <c r="G168" s="99" t="s">
        <v>856</v>
      </c>
      <c r="H168" s="426" t="s">
        <v>348</v>
      </c>
      <c r="I168" s="435">
        <v>16974750</v>
      </c>
      <c r="J168" s="153" t="s">
        <v>349</v>
      </c>
      <c r="K168" s="384" t="s">
        <v>857</v>
      </c>
      <c r="L168" s="412" t="s">
        <v>860</v>
      </c>
      <c r="M168" s="97"/>
      <c r="N168" s="97">
        <v>2026</v>
      </c>
      <c r="O168" s="258"/>
    </row>
    <row r="169" spans="2:15" customFormat="1">
      <c r="B169" s="104"/>
      <c r="C169" s="383" t="s">
        <v>128</v>
      </c>
      <c r="D169" s="378" t="e" cm="1">
        <f t="array" aca="1" ref="D16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69" s="99" t="s">
        <v>867</v>
      </c>
      <c r="F169" s="104" t="s">
        <v>350</v>
      </c>
      <c r="G169" s="99" t="s">
        <v>856</v>
      </c>
      <c r="H169" s="426" t="s">
        <v>348</v>
      </c>
      <c r="I169" s="435">
        <v>8608974</v>
      </c>
      <c r="J169" s="153" t="s">
        <v>349</v>
      </c>
      <c r="K169" s="384" t="s">
        <v>857</v>
      </c>
      <c r="L169" s="412" t="s">
        <v>860</v>
      </c>
      <c r="M169" s="97"/>
      <c r="N169" s="97">
        <v>2026</v>
      </c>
      <c r="O169" s="258"/>
    </row>
    <row r="170" spans="2:15" customFormat="1">
      <c r="B170" s="104"/>
      <c r="C170" s="383" t="s">
        <v>420</v>
      </c>
      <c r="D170" s="378" t="e" cm="1">
        <f t="array" aca="1" ref="D17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70" s="99" t="s">
        <v>867</v>
      </c>
      <c r="F170" s="104" t="s">
        <v>350</v>
      </c>
      <c r="G170" s="99" t="s">
        <v>856</v>
      </c>
      <c r="H170" s="426" t="s">
        <v>348</v>
      </c>
      <c r="I170" s="435">
        <v>34567624</v>
      </c>
      <c r="J170" s="153" t="s">
        <v>349</v>
      </c>
      <c r="K170" s="384" t="s">
        <v>857</v>
      </c>
      <c r="L170" s="412" t="s">
        <v>860</v>
      </c>
      <c r="M170" s="97"/>
      <c r="N170" s="97">
        <v>2026</v>
      </c>
      <c r="O170" s="258"/>
    </row>
    <row r="171" spans="2:15" customFormat="1">
      <c r="B171" s="104"/>
      <c r="C171" s="383" t="s">
        <v>373</v>
      </c>
      <c r="D171" s="378" t="e" cm="1">
        <f t="array" aca="1" ref="D17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71" s="99" t="s">
        <v>382</v>
      </c>
      <c r="F171" s="104" t="s">
        <v>350</v>
      </c>
      <c r="G171" s="99" t="s">
        <v>856</v>
      </c>
      <c r="H171" s="426" t="s">
        <v>355</v>
      </c>
      <c r="I171" s="435">
        <v>881998872</v>
      </c>
      <c r="J171" s="153" t="s">
        <v>349</v>
      </c>
      <c r="K171" s="384" t="s">
        <v>857</v>
      </c>
      <c r="L171" s="412" t="s">
        <v>858</v>
      </c>
      <c r="M171" s="97"/>
      <c r="N171" s="97">
        <v>2026</v>
      </c>
      <c r="O171" s="258"/>
    </row>
    <row r="172" spans="2:15" customFormat="1">
      <c r="B172" s="104"/>
      <c r="C172" s="383" t="s">
        <v>411</v>
      </c>
      <c r="D172" s="378" t="e" cm="1">
        <f t="array" aca="1" ref="D17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72" s="99" t="s">
        <v>382</v>
      </c>
      <c r="F172" s="104" t="s">
        <v>350</v>
      </c>
      <c r="G172" s="99" t="s">
        <v>856</v>
      </c>
      <c r="H172" s="426" t="s">
        <v>355</v>
      </c>
      <c r="I172" s="435">
        <v>664205364</v>
      </c>
      <c r="J172" s="153" t="s">
        <v>349</v>
      </c>
      <c r="K172" s="384" t="s">
        <v>857</v>
      </c>
      <c r="L172" s="412" t="s">
        <v>858</v>
      </c>
      <c r="M172" s="97"/>
      <c r="N172" s="97">
        <v>2026</v>
      </c>
      <c r="O172" s="258"/>
    </row>
    <row r="173" spans="2:15" customFormat="1">
      <c r="B173" s="104"/>
      <c r="C173" s="383" t="s">
        <v>415</v>
      </c>
      <c r="D173" s="378" t="e" cm="1">
        <f t="array" aca="1" ref="D17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73" s="99" t="s">
        <v>382</v>
      </c>
      <c r="F173" s="104" t="s">
        <v>350</v>
      </c>
      <c r="G173" s="99" t="s">
        <v>856</v>
      </c>
      <c r="H173" s="426" t="s">
        <v>355</v>
      </c>
      <c r="I173" s="435">
        <v>178204573</v>
      </c>
      <c r="J173" s="153" t="s">
        <v>349</v>
      </c>
      <c r="K173" s="384" t="s">
        <v>857</v>
      </c>
      <c r="L173" s="412" t="s">
        <v>858</v>
      </c>
      <c r="M173" s="97"/>
      <c r="N173" s="97">
        <v>2026</v>
      </c>
      <c r="O173" s="258"/>
    </row>
    <row r="174" spans="2:15" customFormat="1">
      <c r="B174" s="104"/>
      <c r="C174" s="383" t="s">
        <v>377</v>
      </c>
      <c r="D174" s="378" t="e" cm="1">
        <f t="array" aca="1" ref="D17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74" s="99" t="s">
        <v>382</v>
      </c>
      <c r="F174" s="104" t="s">
        <v>350</v>
      </c>
      <c r="G174" s="99" t="s">
        <v>856</v>
      </c>
      <c r="H174" s="426" t="s">
        <v>355</v>
      </c>
      <c r="I174" s="435">
        <v>27622955</v>
      </c>
      <c r="J174" s="153" t="s">
        <v>349</v>
      </c>
      <c r="K174" s="384" t="s">
        <v>857</v>
      </c>
      <c r="L174" s="412" t="s">
        <v>858</v>
      </c>
      <c r="M174" s="97"/>
      <c r="N174" s="97">
        <v>2026</v>
      </c>
      <c r="O174" s="258"/>
    </row>
    <row r="175" spans="2:15" customFormat="1">
      <c r="B175" s="104"/>
      <c r="C175" s="383" t="s">
        <v>422</v>
      </c>
      <c r="D175" s="378" t="e" cm="1">
        <f t="array" aca="1" ref="D17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75" s="99" t="s">
        <v>382</v>
      </c>
      <c r="F175" s="104" t="s">
        <v>350</v>
      </c>
      <c r="G175" s="99" t="s">
        <v>856</v>
      </c>
      <c r="H175" s="426" t="s">
        <v>355</v>
      </c>
      <c r="I175" s="435">
        <v>21177184</v>
      </c>
      <c r="J175" s="153" t="s">
        <v>349</v>
      </c>
      <c r="K175" s="384" t="s">
        <v>857</v>
      </c>
      <c r="L175" s="412" t="s">
        <v>858</v>
      </c>
      <c r="M175" s="97"/>
      <c r="N175" s="97">
        <v>2026</v>
      </c>
      <c r="O175" s="258"/>
    </row>
    <row r="176" spans="2:15" customFormat="1">
      <c r="B176" s="104"/>
      <c r="C176" s="383" t="s">
        <v>418</v>
      </c>
      <c r="D176" s="378" t="e" cm="1">
        <f t="array" aca="1" ref="D17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76" s="99" t="s">
        <v>382</v>
      </c>
      <c r="F176" s="104" t="s">
        <v>350</v>
      </c>
      <c r="G176" s="99" t="s">
        <v>856</v>
      </c>
      <c r="H176" s="426" t="s">
        <v>355</v>
      </c>
      <c r="I176" s="435">
        <v>29492295</v>
      </c>
      <c r="J176" s="153" t="s">
        <v>349</v>
      </c>
      <c r="K176" s="384" t="s">
        <v>857</v>
      </c>
      <c r="L176" s="412" t="s">
        <v>858</v>
      </c>
      <c r="M176" s="97"/>
      <c r="N176" s="97">
        <v>2026</v>
      </c>
      <c r="O176" s="258"/>
    </row>
    <row r="177" spans="2:15" customFormat="1">
      <c r="B177" s="104"/>
      <c r="C177" s="383" t="s">
        <v>410</v>
      </c>
      <c r="D177" s="378" t="e" cm="1">
        <f t="array" aca="1" ref="D17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77" s="99" t="s">
        <v>382</v>
      </c>
      <c r="F177" s="104" t="s">
        <v>350</v>
      </c>
      <c r="G177" s="99" t="s">
        <v>856</v>
      </c>
      <c r="H177" s="426" t="s">
        <v>355</v>
      </c>
      <c r="I177" s="435">
        <v>338125868</v>
      </c>
      <c r="J177" s="153" t="s">
        <v>349</v>
      </c>
      <c r="K177" s="384" t="s">
        <v>857</v>
      </c>
      <c r="L177" s="412" t="s">
        <v>858</v>
      </c>
      <c r="M177" s="97"/>
      <c r="N177" s="97">
        <v>2026</v>
      </c>
      <c r="O177" s="258"/>
    </row>
    <row r="178" spans="2:15" customFormat="1">
      <c r="B178" s="104"/>
      <c r="C178" s="383" t="s">
        <v>413</v>
      </c>
      <c r="D178" s="378" t="e" cm="1">
        <f t="array" aca="1" ref="D17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78" s="99" t="s">
        <v>382</v>
      </c>
      <c r="F178" s="104" t="s">
        <v>350</v>
      </c>
      <c r="G178" s="99" t="s">
        <v>856</v>
      </c>
      <c r="H178" s="426" t="s">
        <v>355</v>
      </c>
      <c r="I178" s="435">
        <v>628269515</v>
      </c>
      <c r="J178" s="153" t="s">
        <v>349</v>
      </c>
      <c r="K178" s="384" t="s">
        <v>857</v>
      </c>
      <c r="L178" s="412" t="s">
        <v>858</v>
      </c>
      <c r="M178" s="97"/>
      <c r="N178" s="97">
        <v>2026</v>
      </c>
      <c r="O178" s="258"/>
    </row>
    <row r="179" spans="2:15" customFormat="1">
      <c r="B179" s="104"/>
      <c r="C179" s="383" t="s">
        <v>413</v>
      </c>
      <c r="D179" s="378" t="e" cm="1">
        <f t="array" aca="1" ref="D17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79" s="99" t="s">
        <v>382</v>
      </c>
      <c r="F179" s="104" t="s">
        <v>350</v>
      </c>
      <c r="G179" s="99" t="s">
        <v>856</v>
      </c>
      <c r="H179" s="426" t="s">
        <v>355</v>
      </c>
      <c r="I179" s="435">
        <v>12811334</v>
      </c>
      <c r="J179" s="153" t="s">
        <v>349</v>
      </c>
      <c r="K179" s="384" t="s">
        <v>857</v>
      </c>
      <c r="L179" s="412" t="s">
        <v>858</v>
      </c>
      <c r="M179" s="97"/>
      <c r="N179" s="97">
        <v>2026</v>
      </c>
      <c r="O179" s="258"/>
    </row>
    <row r="180" spans="2:15" customFormat="1">
      <c r="B180" s="104"/>
      <c r="C180" s="383" t="s">
        <v>420</v>
      </c>
      <c r="D180" s="378" t="e" cm="1">
        <f t="array" aca="1" ref="D18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80" s="99" t="s">
        <v>382</v>
      </c>
      <c r="F180" s="104" t="s">
        <v>350</v>
      </c>
      <c r="G180" s="99" t="s">
        <v>856</v>
      </c>
      <c r="H180" s="426" t="s">
        <v>355</v>
      </c>
      <c r="I180" s="435">
        <v>184474531</v>
      </c>
      <c r="J180" s="153" t="s">
        <v>349</v>
      </c>
      <c r="K180" s="384" t="s">
        <v>857</v>
      </c>
      <c r="L180" s="412" t="s">
        <v>858</v>
      </c>
      <c r="M180" s="97"/>
      <c r="N180" s="97">
        <v>2026</v>
      </c>
      <c r="O180" s="258"/>
    </row>
    <row r="181" spans="2:15" customFormat="1">
      <c r="B181" s="104"/>
      <c r="C181" s="383" t="s">
        <v>419</v>
      </c>
      <c r="D181" s="378" t="e" cm="1">
        <f t="array" aca="1" ref="D18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81" s="99" t="s">
        <v>382</v>
      </c>
      <c r="F181" s="104" t="s">
        <v>350</v>
      </c>
      <c r="G181" s="99" t="s">
        <v>856</v>
      </c>
      <c r="H181" s="427" t="s">
        <v>355</v>
      </c>
      <c r="I181" s="435">
        <v>17675779</v>
      </c>
      <c r="J181" s="153" t="s">
        <v>349</v>
      </c>
      <c r="K181" s="385" t="s">
        <v>857</v>
      </c>
      <c r="L181" s="451" t="s">
        <v>858</v>
      </c>
      <c r="M181" s="97"/>
      <c r="N181" s="97">
        <v>2026</v>
      </c>
      <c r="O181" s="258"/>
    </row>
    <row r="182" spans="2:15" customFormat="1">
      <c r="B182" s="104"/>
      <c r="C182" s="383" t="s">
        <v>423</v>
      </c>
      <c r="D182" s="378" t="e" cm="1">
        <f t="array" aca="1" ref="D18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82" s="99" t="s">
        <v>382</v>
      </c>
      <c r="F182" s="104" t="s">
        <v>350</v>
      </c>
      <c r="G182" s="99" t="s">
        <v>856</v>
      </c>
      <c r="H182" s="426" t="s">
        <v>355</v>
      </c>
      <c r="I182" s="435">
        <v>7932590</v>
      </c>
      <c r="J182" s="153" t="s">
        <v>349</v>
      </c>
      <c r="K182" s="384" t="s">
        <v>857</v>
      </c>
      <c r="L182" s="412" t="s">
        <v>858</v>
      </c>
      <c r="M182" s="97"/>
      <c r="N182" s="97">
        <v>2026</v>
      </c>
      <c r="O182" s="258"/>
    </row>
    <row r="183" spans="2:15" customFormat="1">
      <c r="B183" s="104"/>
      <c r="C183" s="383" t="s">
        <v>414</v>
      </c>
      <c r="D183" s="378" t="e" cm="1">
        <f t="array" aca="1" ref="D18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83" s="99" t="s">
        <v>382</v>
      </c>
      <c r="F183" s="104" t="s">
        <v>350</v>
      </c>
      <c r="G183" s="99" t="s">
        <v>856</v>
      </c>
      <c r="H183" s="426" t="s">
        <v>355</v>
      </c>
      <c r="I183" s="435">
        <v>8051854</v>
      </c>
      <c r="J183" s="153" t="s">
        <v>349</v>
      </c>
      <c r="K183" s="384" t="s">
        <v>857</v>
      </c>
      <c r="L183" s="412" t="s">
        <v>858</v>
      </c>
      <c r="M183" s="97"/>
      <c r="N183" s="97">
        <v>2026</v>
      </c>
      <c r="O183" s="258"/>
    </row>
    <row r="184" spans="2:15" customFormat="1">
      <c r="B184" s="104"/>
      <c r="C184" s="104" t="s">
        <v>424</v>
      </c>
      <c r="D184" s="378" t="e" cm="1">
        <f t="array" aca="1" ref="D18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84" s="99" t="s">
        <v>382</v>
      </c>
      <c r="F184" s="104" t="s">
        <v>350</v>
      </c>
      <c r="G184" s="99" t="s">
        <v>856</v>
      </c>
      <c r="H184" s="426" t="s">
        <v>355</v>
      </c>
      <c r="I184" s="435">
        <v>11548402</v>
      </c>
      <c r="J184" s="153" t="s">
        <v>349</v>
      </c>
      <c r="K184" s="384" t="s">
        <v>857</v>
      </c>
      <c r="L184" s="412" t="s">
        <v>858</v>
      </c>
      <c r="M184" s="97"/>
      <c r="N184" s="97">
        <v>2026</v>
      </c>
      <c r="O184" s="258"/>
    </row>
    <row r="185" spans="2:15" customFormat="1">
      <c r="B185" s="104"/>
      <c r="C185" s="104" t="s">
        <v>427</v>
      </c>
      <c r="D185" s="378" t="e" cm="1">
        <f t="array" aca="1" ref="D18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85" s="99" t="s">
        <v>382</v>
      </c>
      <c r="F185" s="104" t="s">
        <v>350</v>
      </c>
      <c r="G185" s="99" t="s">
        <v>856</v>
      </c>
      <c r="H185" s="426" t="s">
        <v>355</v>
      </c>
      <c r="I185" s="435">
        <v>10936721</v>
      </c>
      <c r="J185" s="153" t="s">
        <v>349</v>
      </c>
      <c r="K185" s="384" t="s">
        <v>857</v>
      </c>
      <c r="L185" s="412" t="s">
        <v>858</v>
      </c>
      <c r="M185" s="97"/>
      <c r="N185" s="97">
        <v>2026</v>
      </c>
      <c r="O185" s="258"/>
    </row>
    <row r="186" spans="2:15" customFormat="1">
      <c r="B186" s="104"/>
      <c r="C186" s="104" t="s">
        <v>425</v>
      </c>
      <c r="D186" s="378" t="e" cm="1">
        <f t="array" aca="1" ref="D18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86" s="400" t="s">
        <v>382</v>
      </c>
      <c r="F186" s="104" t="s">
        <v>350</v>
      </c>
      <c r="G186" s="99" t="s">
        <v>856</v>
      </c>
      <c r="H186" s="426" t="s">
        <v>355</v>
      </c>
      <c r="I186" s="435">
        <v>66111088</v>
      </c>
      <c r="J186" s="153" t="s">
        <v>349</v>
      </c>
      <c r="K186" s="384" t="s">
        <v>857</v>
      </c>
      <c r="L186" s="412" t="s">
        <v>858</v>
      </c>
      <c r="M186" s="97"/>
      <c r="N186" s="97">
        <v>2026</v>
      </c>
      <c r="O186" s="258"/>
    </row>
    <row r="187" spans="2:15" customFormat="1">
      <c r="B187" s="104"/>
      <c r="C187" s="104" t="s">
        <v>429</v>
      </c>
      <c r="D187" s="378" t="e" cm="1">
        <f t="array" aca="1" ref="D18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87" s="400" t="s">
        <v>382</v>
      </c>
      <c r="F187" s="104" t="s">
        <v>350</v>
      </c>
      <c r="G187" s="99" t="s">
        <v>856</v>
      </c>
      <c r="H187" s="426" t="s">
        <v>355</v>
      </c>
      <c r="I187" s="435">
        <v>9413104</v>
      </c>
      <c r="J187" s="153" t="s">
        <v>349</v>
      </c>
      <c r="K187" s="384" t="s">
        <v>857</v>
      </c>
      <c r="L187" s="412" t="s">
        <v>858</v>
      </c>
      <c r="M187" s="97"/>
      <c r="N187" s="97">
        <v>2026</v>
      </c>
      <c r="O187" s="258"/>
    </row>
    <row r="188" spans="2:15" customFormat="1">
      <c r="B188" s="104"/>
      <c r="C188" s="104" t="s">
        <v>428</v>
      </c>
      <c r="D188" s="378" t="e" cm="1">
        <f t="array" aca="1" ref="D18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88" s="400" t="s">
        <v>382</v>
      </c>
      <c r="F188" s="104" t="s">
        <v>350</v>
      </c>
      <c r="G188" s="99" t="s">
        <v>856</v>
      </c>
      <c r="H188" s="426" t="s">
        <v>355</v>
      </c>
      <c r="I188" s="435">
        <v>7234233</v>
      </c>
      <c r="J188" s="153" t="s">
        <v>349</v>
      </c>
      <c r="K188" s="384" t="s">
        <v>857</v>
      </c>
      <c r="L188" s="412" t="s">
        <v>858</v>
      </c>
      <c r="M188" s="97"/>
      <c r="N188" s="97">
        <v>2026</v>
      </c>
      <c r="O188" s="258"/>
    </row>
    <row r="189" spans="2:15" customFormat="1">
      <c r="B189" s="104"/>
      <c r="C189" s="383" t="s">
        <v>413</v>
      </c>
      <c r="D189" s="378" t="e" cm="1">
        <f t="array" aca="1" ref="D18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89" s="400" t="s">
        <v>868</v>
      </c>
      <c r="F189" s="104" t="s">
        <v>350</v>
      </c>
      <c r="G189" s="99" t="s">
        <v>856</v>
      </c>
      <c r="H189" s="426" t="s">
        <v>356</v>
      </c>
      <c r="I189" s="435">
        <v>1102347242</v>
      </c>
      <c r="J189" s="153" t="s">
        <v>346</v>
      </c>
      <c r="K189" s="384" t="s">
        <v>857</v>
      </c>
      <c r="L189" s="412" t="s">
        <v>860</v>
      </c>
      <c r="M189" s="97"/>
      <c r="N189" s="97">
        <v>2026</v>
      </c>
      <c r="O189" s="258"/>
    </row>
    <row r="190" spans="2:15" customFormat="1">
      <c r="B190" s="104"/>
      <c r="C190" s="383" t="s">
        <v>411</v>
      </c>
      <c r="D190" s="378" t="e" cm="1">
        <f t="array" aca="1" ref="D19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90" s="400" t="s">
        <v>412</v>
      </c>
      <c r="F190" s="104" t="s">
        <v>350</v>
      </c>
      <c r="G190" s="99" t="s">
        <v>856</v>
      </c>
      <c r="H190" s="426" t="s">
        <v>355</v>
      </c>
      <c r="I190" s="435">
        <v>822888</v>
      </c>
      <c r="J190" s="153" t="s">
        <v>346</v>
      </c>
      <c r="K190" s="384" t="s">
        <v>857</v>
      </c>
      <c r="L190" s="412" t="s">
        <v>860</v>
      </c>
      <c r="M190" s="97"/>
      <c r="N190" s="97">
        <v>2026</v>
      </c>
      <c r="O190" s="258"/>
    </row>
    <row r="191" spans="2:15" customFormat="1">
      <c r="B191" s="104"/>
      <c r="C191" s="98" t="s">
        <v>373</v>
      </c>
      <c r="D191" s="378" t="e" cm="1">
        <f t="array" aca="1" ref="D19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91" s="400" t="s">
        <v>859</v>
      </c>
      <c r="F191" s="104" t="s">
        <v>350</v>
      </c>
      <c r="G191" s="99" t="s">
        <v>856</v>
      </c>
      <c r="H191" s="426" t="s">
        <v>356</v>
      </c>
      <c r="I191" s="435">
        <v>115384931</v>
      </c>
      <c r="J191" s="153" t="s">
        <v>349</v>
      </c>
      <c r="K191" s="384" t="s">
        <v>857</v>
      </c>
      <c r="L191" s="412" t="s">
        <v>860</v>
      </c>
      <c r="M191" s="97"/>
      <c r="N191" s="97">
        <v>2026</v>
      </c>
      <c r="O191" s="258"/>
    </row>
    <row r="192" spans="2:15" customFormat="1">
      <c r="B192" s="104"/>
      <c r="C192" s="98" t="s">
        <v>411</v>
      </c>
      <c r="D192" s="378" t="e" cm="1">
        <f t="array" aca="1" ref="D19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92" s="400" t="s">
        <v>859</v>
      </c>
      <c r="F192" s="104" t="s">
        <v>350</v>
      </c>
      <c r="G192" s="99" t="s">
        <v>856</v>
      </c>
      <c r="H192" s="426" t="s">
        <v>356</v>
      </c>
      <c r="I192" s="435">
        <v>95864383</v>
      </c>
      <c r="J192" s="153" t="s">
        <v>349</v>
      </c>
      <c r="K192" s="384" t="s">
        <v>857</v>
      </c>
      <c r="L192" s="412" t="s">
        <v>860</v>
      </c>
      <c r="M192" s="97"/>
      <c r="N192" s="97">
        <v>2026</v>
      </c>
      <c r="O192" s="258"/>
    </row>
    <row r="193" spans="2:15" customFormat="1">
      <c r="B193" s="104"/>
      <c r="C193" s="98" t="s">
        <v>410</v>
      </c>
      <c r="D193" s="378" t="e" cm="1">
        <f t="array" aca="1" ref="D19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93" s="400" t="s">
        <v>859</v>
      </c>
      <c r="F193" s="104" t="s">
        <v>350</v>
      </c>
      <c r="G193" s="99" t="s">
        <v>856</v>
      </c>
      <c r="H193" s="426" t="s">
        <v>356</v>
      </c>
      <c r="I193" s="435">
        <v>22853425</v>
      </c>
      <c r="J193" s="153" t="s">
        <v>349</v>
      </c>
      <c r="K193" s="384" t="s">
        <v>857</v>
      </c>
      <c r="L193" s="412" t="s">
        <v>860</v>
      </c>
      <c r="M193" s="97"/>
      <c r="N193" s="97">
        <v>2026</v>
      </c>
      <c r="O193" s="258"/>
    </row>
    <row r="194" spans="2:15" customFormat="1">
      <c r="B194" s="104"/>
      <c r="C194" s="98" t="s">
        <v>420</v>
      </c>
      <c r="D194" s="378" t="e" cm="1">
        <f t="array" aca="1" ref="D19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94" s="400" t="s">
        <v>859</v>
      </c>
      <c r="F194" s="104" t="s">
        <v>350</v>
      </c>
      <c r="G194" s="99" t="s">
        <v>856</v>
      </c>
      <c r="H194" s="426" t="s">
        <v>356</v>
      </c>
      <c r="I194" s="435">
        <v>19027397</v>
      </c>
      <c r="J194" s="153" t="s">
        <v>349</v>
      </c>
      <c r="K194" s="384" t="s">
        <v>857</v>
      </c>
      <c r="L194" s="412" t="s">
        <v>860</v>
      </c>
      <c r="M194" s="97"/>
      <c r="N194" s="97">
        <v>2026</v>
      </c>
      <c r="O194" s="258"/>
    </row>
    <row r="195" spans="2:15" customFormat="1">
      <c r="B195" s="104"/>
      <c r="C195" s="98" t="s">
        <v>419</v>
      </c>
      <c r="D195" s="378" t="e" cm="1">
        <f t="array" aca="1" ref="D19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95" s="400" t="s">
        <v>859</v>
      </c>
      <c r="F195" s="104" t="s">
        <v>350</v>
      </c>
      <c r="G195" s="99" t="s">
        <v>856</v>
      </c>
      <c r="H195" s="426" t="s">
        <v>356</v>
      </c>
      <c r="I195" s="435">
        <v>3000000</v>
      </c>
      <c r="J195" s="153" t="s">
        <v>349</v>
      </c>
      <c r="K195" s="384" t="s">
        <v>857</v>
      </c>
      <c r="L195" s="412" t="s">
        <v>860</v>
      </c>
      <c r="M195" s="97"/>
      <c r="N195" s="97">
        <v>2026</v>
      </c>
      <c r="O195" s="258"/>
    </row>
    <row r="196" spans="2:15" customFormat="1">
      <c r="B196" s="104"/>
      <c r="C196" s="98" t="s">
        <v>423</v>
      </c>
      <c r="D196" s="378" t="e" cm="1">
        <f t="array" aca="1" ref="D19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96" s="400" t="s">
        <v>859</v>
      </c>
      <c r="F196" s="104" t="s">
        <v>350</v>
      </c>
      <c r="G196" s="99" t="s">
        <v>856</v>
      </c>
      <c r="H196" s="426" t="s">
        <v>356</v>
      </c>
      <c r="I196" s="435">
        <v>1500000</v>
      </c>
      <c r="J196" s="153" t="s">
        <v>349</v>
      </c>
      <c r="K196" s="384" t="s">
        <v>857</v>
      </c>
      <c r="L196" s="412" t="s">
        <v>860</v>
      </c>
      <c r="M196" s="97"/>
      <c r="N196" s="97">
        <v>2026</v>
      </c>
      <c r="O196" s="258"/>
    </row>
    <row r="197" spans="2:15" customFormat="1">
      <c r="B197" s="104"/>
      <c r="C197" s="98" t="s">
        <v>422</v>
      </c>
      <c r="D197" s="378" t="e" cm="1">
        <f t="array" aca="1" ref="D19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97" s="400" t="s">
        <v>859</v>
      </c>
      <c r="F197" s="104" t="s">
        <v>350</v>
      </c>
      <c r="G197" s="99" t="s">
        <v>856</v>
      </c>
      <c r="H197" s="426" t="s">
        <v>356</v>
      </c>
      <c r="I197" s="435">
        <v>3000000</v>
      </c>
      <c r="J197" s="153" t="s">
        <v>349</v>
      </c>
      <c r="K197" s="384" t="s">
        <v>857</v>
      </c>
      <c r="L197" s="412" t="s">
        <v>860</v>
      </c>
      <c r="M197" s="97"/>
      <c r="N197" s="97">
        <v>2026</v>
      </c>
      <c r="O197" s="258"/>
    </row>
    <row r="198" spans="2:15" customFormat="1">
      <c r="B198" s="104"/>
      <c r="C198" s="98" t="s">
        <v>418</v>
      </c>
      <c r="D198" s="378" t="e" cm="1">
        <f t="array" aca="1" ref="D19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98" s="400" t="s">
        <v>859</v>
      </c>
      <c r="F198" s="104" t="s">
        <v>350</v>
      </c>
      <c r="G198" s="99" t="s">
        <v>856</v>
      </c>
      <c r="H198" s="426" t="s">
        <v>356</v>
      </c>
      <c r="I198" s="435">
        <v>4500000</v>
      </c>
      <c r="J198" s="153" t="s">
        <v>349</v>
      </c>
      <c r="K198" s="384" t="s">
        <v>857</v>
      </c>
      <c r="L198" s="412" t="s">
        <v>860</v>
      </c>
      <c r="M198" s="97"/>
      <c r="N198" s="97">
        <v>2026</v>
      </c>
      <c r="O198" s="258"/>
    </row>
    <row r="199" spans="2:15" customFormat="1">
      <c r="B199" s="104"/>
      <c r="C199" s="98" t="s">
        <v>377</v>
      </c>
      <c r="D199" s="378" t="e" cm="1">
        <f t="array" aca="1" ref="D19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199" s="400" t="s">
        <v>859</v>
      </c>
      <c r="F199" s="104" t="s">
        <v>350</v>
      </c>
      <c r="G199" s="99" t="s">
        <v>856</v>
      </c>
      <c r="H199" s="426" t="s">
        <v>356</v>
      </c>
      <c r="I199" s="435">
        <v>3000000</v>
      </c>
      <c r="J199" s="153" t="s">
        <v>349</v>
      </c>
      <c r="K199" s="384" t="s">
        <v>857</v>
      </c>
      <c r="L199" s="412" t="s">
        <v>860</v>
      </c>
      <c r="M199" s="97"/>
      <c r="N199" s="97">
        <v>2026</v>
      </c>
      <c r="O199" s="258"/>
    </row>
    <row r="200" spans="2:15" customFormat="1">
      <c r="B200" s="104"/>
      <c r="C200" s="98" t="s">
        <v>427</v>
      </c>
      <c r="D200" s="378" t="e" cm="1">
        <f t="array" aca="1" ref="D20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00" s="400" t="s">
        <v>859</v>
      </c>
      <c r="F200" s="104" t="s">
        <v>350</v>
      </c>
      <c r="G200" s="99" t="s">
        <v>856</v>
      </c>
      <c r="H200" s="426" t="s">
        <v>356</v>
      </c>
      <c r="I200" s="435">
        <v>300000</v>
      </c>
      <c r="J200" s="153" t="s">
        <v>349</v>
      </c>
      <c r="K200" s="384" t="s">
        <v>857</v>
      </c>
      <c r="L200" s="412" t="s">
        <v>860</v>
      </c>
      <c r="M200" s="97"/>
      <c r="N200" s="97">
        <v>2026</v>
      </c>
      <c r="O200" s="258"/>
    </row>
    <row r="201" spans="2:15" customFormat="1">
      <c r="B201" s="104"/>
      <c r="C201" s="98" t="s">
        <v>424</v>
      </c>
      <c r="D201" s="378" t="e" cm="1">
        <f t="array" aca="1" ref="D20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01" s="400" t="s">
        <v>859</v>
      </c>
      <c r="F201" s="104" t="s">
        <v>350</v>
      </c>
      <c r="G201" s="99" t="s">
        <v>856</v>
      </c>
      <c r="H201" s="426" t="s">
        <v>356</v>
      </c>
      <c r="I201" s="435">
        <v>550685</v>
      </c>
      <c r="J201" s="153" t="s">
        <v>349</v>
      </c>
      <c r="K201" s="384" t="s">
        <v>857</v>
      </c>
      <c r="L201" s="412" t="s">
        <v>860</v>
      </c>
      <c r="M201" s="97"/>
      <c r="N201" s="97">
        <v>2026</v>
      </c>
      <c r="O201" s="258"/>
    </row>
    <row r="202" spans="2:15" customFormat="1">
      <c r="B202" s="104"/>
      <c r="C202" s="98" t="s">
        <v>425</v>
      </c>
      <c r="D202" s="378" t="e" cm="1">
        <f t="array" aca="1" ref="D20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02" s="400" t="s">
        <v>859</v>
      </c>
      <c r="F202" s="104" t="s">
        <v>350</v>
      </c>
      <c r="G202" s="99" t="s">
        <v>856</v>
      </c>
      <c r="H202" s="426" t="s">
        <v>356</v>
      </c>
      <c r="I202" s="435">
        <v>1393151</v>
      </c>
      <c r="J202" s="153" t="s">
        <v>349</v>
      </c>
      <c r="K202" s="384" t="s">
        <v>857</v>
      </c>
      <c r="L202" s="412" t="s">
        <v>860</v>
      </c>
      <c r="M202" s="97"/>
      <c r="N202" s="97">
        <v>2026</v>
      </c>
      <c r="O202" s="258"/>
    </row>
    <row r="203" spans="2:15" customFormat="1">
      <c r="B203" s="104"/>
      <c r="C203" s="98" t="s">
        <v>429</v>
      </c>
      <c r="D203" s="378" t="e" cm="1">
        <f t="array" aca="1" ref="D20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03" s="400" t="s">
        <v>859</v>
      </c>
      <c r="F203" s="104" t="s">
        <v>350</v>
      </c>
      <c r="G203" s="99" t="s">
        <v>856</v>
      </c>
      <c r="H203" s="426" t="s">
        <v>356</v>
      </c>
      <c r="I203" s="435">
        <v>172603</v>
      </c>
      <c r="J203" s="153" t="s">
        <v>349</v>
      </c>
      <c r="K203" s="384" t="s">
        <v>857</v>
      </c>
      <c r="L203" s="412" t="s">
        <v>860</v>
      </c>
      <c r="M203" s="97"/>
      <c r="N203" s="97">
        <v>2026</v>
      </c>
      <c r="O203" s="258"/>
    </row>
    <row r="204" spans="2:15" customFormat="1">
      <c r="B204" s="104"/>
      <c r="C204" s="98" t="s">
        <v>429</v>
      </c>
      <c r="D204" s="378" t="e" cm="1">
        <f t="array" aca="1" ref="D20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04" s="400" t="s">
        <v>869</v>
      </c>
      <c r="F204" s="104" t="s">
        <v>350</v>
      </c>
      <c r="G204" s="99" t="s">
        <v>856</v>
      </c>
      <c r="H204" s="426" t="s">
        <v>355</v>
      </c>
      <c r="I204" s="435">
        <v>15000000</v>
      </c>
      <c r="J204" s="153" t="s">
        <v>346</v>
      </c>
      <c r="K204" s="386" t="s">
        <v>870</v>
      </c>
      <c r="L204" s="412" t="s">
        <v>858</v>
      </c>
      <c r="M204" s="97"/>
      <c r="N204" s="97">
        <v>2026</v>
      </c>
      <c r="O204" s="258"/>
    </row>
    <row r="205" spans="2:15" customFormat="1">
      <c r="B205" s="104"/>
      <c r="C205" s="98" t="s">
        <v>431</v>
      </c>
      <c r="D205" s="378" t="e" cm="1">
        <f t="array" aca="1" ref="D20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05" s="400" t="s">
        <v>871</v>
      </c>
      <c r="F205" s="104" t="s">
        <v>350</v>
      </c>
      <c r="G205" s="99" t="s">
        <v>856</v>
      </c>
      <c r="H205" s="426" t="s">
        <v>348</v>
      </c>
      <c r="I205" s="435">
        <v>16935484</v>
      </c>
      <c r="J205" s="153" t="s">
        <v>346</v>
      </c>
      <c r="K205" s="384" t="s">
        <v>872</v>
      </c>
      <c r="L205" s="412" t="s">
        <v>858</v>
      </c>
      <c r="M205" s="97"/>
      <c r="N205" s="97">
        <v>2026</v>
      </c>
      <c r="O205" s="258"/>
    </row>
    <row r="206" spans="2:15" customFormat="1">
      <c r="B206" s="104"/>
      <c r="C206" s="98" t="s">
        <v>432</v>
      </c>
      <c r="D206" s="378" t="e" cm="1">
        <f t="array" aca="1" ref="D20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06" s="400" t="s">
        <v>384</v>
      </c>
      <c r="F206" s="104" t="s">
        <v>350</v>
      </c>
      <c r="G206" s="99" t="s">
        <v>856</v>
      </c>
      <c r="H206" s="426" t="s">
        <v>356</v>
      </c>
      <c r="I206" s="435">
        <v>1978000</v>
      </c>
      <c r="J206" s="153" t="s">
        <v>346</v>
      </c>
      <c r="K206" s="384" t="s">
        <v>873</v>
      </c>
      <c r="L206" s="412" t="s">
        <v>860</v>
      </c>
      <c r="M206" s="97"/>
      <c r="N206" s="97">
        <v>2026</v>
      </c>
      <c r="O206" s="258"/>
    </row>
    <row r="207" spans="2:15" customFormat="1">
      <c r="B207" s="104"/>
      <c r="C207" s="104" t="s">
        <v>373</v>
      </c>
      <c r="D207" s="378" t="e" cm="1">
        <f t="array" aca="1" ref="D20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07" s="99" t="s">
        <v>874</v>
      </c>
      <c r="F207" s="104" t="s">
        <v>350</v>
      </c>
      <c r="G207" s="99" t="s">
        <v>875</v>
      </c>
      <c r="H207" s="426" t="s">
        <v>342</v>
      </c>
      <c r="I207" s="435">
        <v>206969427.58965996</v>
      </c>
      <c r="J207" s="153" t="s">
        <v>349</v>
      </c>
      <c r="K207" s="384" t="s">
        <v>116</v>
      </c>
      <c r="L207" s="412" t="s">
        <v>858</v>
      </c>
      <c r="M207" s="244"/>
      <c r="N207" s="97">
        <v>2026</v>
      </c>
      <c r="O207" s="258"/>
    </row>
    <row r="208" spans="2:15" customFormat="1">
      <c r="B208" s="104"/>
      <c r="C208" s="383" t="s">
        <v>128</v>
      </c>
      <c r="D208" s="378" t="e" cm="1">
        <f t="array" aca="1" ref="D20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08" s="99" t="s">
        <v>874</v>
      </c>
      <c r="F208" s="104" t="s">
        <v>350</v>
      </c>
      <c r="G208" s="99" t="s">
        <v>875</v>
      </c>
      <c r="H208" s="426" t="s">
        <v>342</v>
      </c>
      <c r="I208" s="435">
        <v>12812478.133333333</v>
      </c>
      <c r="J208" s="153" t="s">
        <v>349</v>
      </c>
      <c r="K208" s="384" t="s">
        <v>116</v>
      </c>
      <c r="L208" s="412" t="s">
        <v>858</v>
      </c>
      <c r="M208" s="450"/>
      <c r="N208" s="97">
        <v>2026</v>
      </c>
      <c r="O208" s="258"/>
    </row>
    <row r="209" spans="2:15" customFormat="1">
      <c r="B209" s="104"/>
      <c r="C209" s="104" t="s">
        <v>373</v>
      </c>
      <c r="D209" s="378" t="e" cm="1">
        <f t="array" aca="1" ref="D20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09" s="99" t="s">
        <v>874</v>
      </c>
      <c r="F209" s="104" t="s">
        <v>350</v>
      </c>
      <c r="G209" s="99" t="s">
        <v>875</v>
      </c>
      <c r="H209" s="426" t="s">
        <v>345</v>
      </c>
      <c r="I209" s="395">
        <v>206969427.58965996</v>
      </c>
      <c r="J209" s="153" t="s">
        <v>349</v>
      </c>
      <c r="K209" s="384" t="s">
        <v>116</v>
      </c>
      <c r="L209" s="412" t="s">
        <v>858</v>
      </c>
      <c r="M209" s="450"/>
      <c r="N209" s="97">
        <v>2026</v>
      </c>
      <c r="O209" s="258"/>
    </row>
    <row r="210" spans="2:15" customFormat="1">
      <c r="B210" s="104"/>
      <c r="C210" s="383" t="s">
        <v>128</v>
      </c>
      <c r="D210" s="378" t="e" cm="1">
        <f t="array" aca="1" ref="D21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10" s="99" t="s">
        <v>874</v>
      </c>
      <c r="F210" s="104" t="s">
        <v>350</v>
      </c>
      <c r="G210" s="99" t="s">
        <v>875</v>
      </c>
      <c r="H210" s="426" t="s">
        <v>345</v>
      </c>
      <c r="I210" s="395">
        <v>12812478.133333333</v>
      </c>
      <c r="J210" s="153" t="s">
        <v>349</v>
      </c>
      <c r="K210" s="384" t="s">
        <v>116</v>
      </c>
      <c r="L210" s="412" t="s">
        <v>858</v>
      </c>
      <c r="M210" s="450"/>
      <c r="N210" s="97">
        <v>2026</v>
      </c>
      <c r="O210" s="258"/>
    </row>
    <row r="211" spans="2:15" customFormat="1">
      <c r="B211" s="104"/>
      <c r="C211" s="104" t="s">
        <v>373</v>
      </c>
      <c r="D211" s="378" t="e" cm="1">
        <f t="array" aca="1" ref="D21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11" s="99" t="s">
        <v>874</v>
      </c>
      <c r="F211" s="104" t="s">
        <v>350</v>
      </c>
      <c r="G211" s="99" t="s">
        <v>875</v>
      </c>
      <c r="H211" s="426" t="s">
        <v>348</v>
      </c>
      <c r="I211" s="395">
        <v>206969427.58965996</v>
      </c>
      <c r="J211" s="153" t="s">
        <v>349</v>
      </c>
      <c r="K211" s="384" t="s">
        <v>116</v>
      </c>
      <c r="L211" s="412" t="s">
        <v>858</v>
      </c>
      <c r="M211" s="450"/>
      <c r="N211" s="97">
        <v>2026</v>
      </c>
      <c r="O211" s="258"/>
    </row>
    <row r="212" spans="2:15" customFormat="1">
      <c r="B212" s="104"/>
      <c r="C212" s="383" t="s">
        <v>128</v>
      </c>
      <c r="D212" s="378" t="e" cm="1">
        <f t="array" aca="1" ref="D21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12" s="99" t="s">
        <v>874</v>
      </c>
      <c r="F212" s="104" t="s">
        <v>350</v>
      </c>
      <c r="G212" s="99" t="s">
        <v>875</v>
      </c>
      <c r="H212" s="426" t="s">
        <v>348</v>
      </c>
      <c r="I212" s="395">
        <v>12812478.133333333</v>
      </c>
      <c r="J212" s="153" t="s">
        <v>349</v>
      </c>
      <c r="K212" s="384" t="s">
        <v>116</v>
      </c>
      <c r="L212" s="412" t="s">
        <v>858</v>
      </c>
      <c r="M212" s="450"/>
      <c r="N212" s="97">
        <v>2026</v>
      </c>
      <c r="O212" s="258"/>
    </row>
    <row r="213" spans="2:15" customFormat="1">
      <c r="B213" s="104"/>
      <c r="C213" s="104" t="s">
        <v>373</v>
      </c>
      <c r="D213" s="378" t="e" cm="1">
        <f t="array" aca="1" ref="D21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13" s="99" t="s">
        <v>874</v>
      </c>
      <c r="F213" s="104" t="s">
        <v>350</v>
      </c>
      <c r="G213" s="99" t="s">
        <v>875</v>
      </c>
      <c r="H213" s="426" t="s">
        <v>351</v>
      </c>
      <c r="I213" s="435">
        <v>248706306.1333333</v>
      </c>
      <c r="J213" s="153" t="s">
        <v>349</v>
      </c>
      <c r="K213" s="384" t="s">
        <v>116</v>
      </c>
      <c r="L213" s="412" t="s">
        <v>858</v>
      </c>
      <c r="M213" s="450" t="s">
        <v>876</v>
      </c>
      <c r="N213" s="97">
        <v>2026</v>
      </c>
      <c r="O213" s="258"/>
    </row>
    <row r="214" spans="2:15" customFormat="1">
      <c r="B214" s="104"/>
      <c r="C214" s="104" t="s">
        <v>418</v>
      </c>
      <c r="D214" s="378" t="e" cm="1">
        <f t="array" aca="1" ref="D21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14" s="99" t="s">
        <v>874</v>
      </c>
      <c r="F214" s="104" t="s">
        <v>350</v>
      </c>
      <c r="G214" s="99" t="s">
        <v>875</v>
      </c>
      <c r="H214" s="426" t="s">
        <v>351</v>
      </c>
      <c r="I214" s="435">
        <v>15267611.091666667</v>
      </c>
      <c r="J214" s="153" t="s">
        <v>346</v>
      </c>
      <c r="K214" s="384" t="s">
        <v>116</v>
      </c>
      <c r="L214" s="412" t="s">
        <v>858</v>
      </c>
      <c r="M214" s="450" t="s">
        <v>876</v>
      </c>
      <c r="N214" s="97">
        <v>2026</v>
      </c>
      <c r="O214" s="258"/>
    </row>
    <row r="215" spans="2:15" customFormat="1">
      <c r="B215" s="104"/>
      <c r="C215" s="104" t="s">
        <v>373</v>
      </c>
      <c r="D215" s="378" t="e" cm="1">
        <f t="array" aca="1" ref="D21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15" s="99" t="s">
        <v>877</v>
      </c>
      <c r="F215" s="104" t="s">
        <v>350</v>
      </c>
      <c r="G215" s="99" t="s">
        <v>875</v>
      </c>
      <c r="H215" s="426" t="s">
        <v>348</v>
      </c>
      <c r="I215" s="435">
        <v>39368004</v>
      </c>
      <c r="J215" s="303" t="s">
        <v>343</v>
      </c>
      <c r="K215" s="384" t="s">
        <v>116</v>
      </c>
      <c r="L215" s="412" t="s">
        <v>860</v>
      </c>
      <c r="M215" s="450"/>
      <c r="N215" s="97">
        <v>2026</v>
      </c>
      <c r="O215" s="258"/>
    </row>
    <row r="216" spans="2:15" customFormat="1">
      <c r="B216" s="104"/>
      <c r="C216" s="383" t="s">
        <v>128</v>
      </c>
      <c r="D216" s="378" t="e" cm="1">
        <f t="array" aca="1" ref="D21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16" s="99" t="s">
        <v>877</v>
      </c>
      <c r="F216" s="104" t="s">
        <v>350</v>
      </c>
      <c r="G216" s="99" t="s">
        <v>875</v>
      </c>
      <c r="H216" s="426" t="s">
        <v>348</v>
      </c>
      <c r="I216" s="435">
        <v>2318955</v>
      </c>
      <c r="J216" s="303" t="s">
        <v>343</v>
      </c>
      <c r="K216" s="384" t="s">
        <v>116</v>
      </c>
      <c r="L216" s="412" t="s">
        <v>860</v>
      </c>
      <c r="M216" s="450"/>
      <c r="N216" s="97">
        <v>2026</v>
      </c>
      <c r="O216" s="258"/>
    </row>
    <row r="217" spans="2:15" customFormat="1">
      <c r="B217" s="104"/>
      <c r="C217" s="104" t="s">
        <v>373</v>
      </c>
      <c r="D217" s="378" t="e" cm="1">
        <f t="array" aca="1" ref="D21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17" s="99" t="s">
        <v>878</v>
      </c>
      <c r="F217" s="104" t="s">
        <v>350</v>
      </c>
      <c r="G217" s="99" t="s">
        <v>875</v>
      </c>
      <c r="H217" s="426" t="s">
        <v>348</v>
      </c>
      <c r="I217" s="435">
        <v>41750636</v>
      </c>
      <c r="J217" s="303" t="s">
        <v>349</v>
      </c>
      <c r="K217" s="384" t="s">
        <v>116</v>
      </c>
      <c r="L217" s="412" t="s">
        <v>860</v>
      </c>
      <c r="M217" s="450"/>
      <c r="N217" s="97">
        <v>2026</v>
      </c>
      <c r="O217" s="258"/>
    </row>
    <row r="218" spans="2:15" customFormat="1">
      <c r="B218" s="104"/>
      <c r="C218" s="104" t="s">
        <v>373</v>
      </c>
      <c r="D218" s="378" t="e" cm="1">
        <f t="array" aca="1" ref="D21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18" s="99" t="s">
        <v>861</v>
      </c>
      <c r="F218" s="104" t="s">
        <v>350</v>
      </c>
      <c r="G218" s="99" t="s">
        <v>875</v>
      </c>
      <c r="H218" s="426" t="s">
        <v>348</v>
      </c>
      <c r="I218" s="435">
        <v>129879908</v>
      </c>
      <c r="J218" s="153" t="s">
        <v>349</v>
      </c>
      <c r="K218" s="384" t="s">
        <v>116</v>
      </c>
      <c r="L218" s="412" t="s">
        <v>860</v>
      </c>
      <c r="M218" s="450"/>
      <c r="N218" s="97">
        <v>2026</v>
      </c>
      <c r="O218" s="258"/>
    </row>
    <row r="219" spans="2:15" customFormat="1">
      <c r="B219" s="104"/>
      <c r="C219" s="383" t="s">
        <v>128</v>
      </c>
      <c r="D219" s="378" t="e" cm="1">
        <f t="array" aca="1" ref="D21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19" s="99" t="s">
        <v>861</v>
      </c>
      <c r="F219" s="104" t="s">
        <v>350</v>
      </c>
      <c r="G219" s="99" t="s">
        <v>875</v>
      </c>
      <c r="H219" s="426" t="s">
        <v>348</v>
      </c>
      <c r="I219" s="435">
        <v>7562000</v>
      </c>
      <c r="J219" s="153" t="s">
        <v>349</v>
      </c>
      <c r="K219" s="384" t="s">
        <v>116</v>
      </c>
      <c r="L219" s="412" t="s">
        <v>860</v>
      </c>
      <c r="M219" s="450"/>
      <c r="N219" s="97">
        <v>2026</v>
      </c>
      <c r="O219" s="258"/>
    </row>
    <row r="220" spans="2:15" customFormat="1">
      <c r="B220" s="104"/>
      <c r="C220" s="104" t="s">
        <v>373</v>
      </c>
      <c r="D220" s="378" t="e" cm="1">
        <f t="array" aca="1" ref="D22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20" s="99" t="s">
        <v>865</v>
      </c>
      <c r="F220" s="104" t="s">
        <v>350</v>
      </c>
      <c r="G220" s="56" t="s">
        <v>875</v>
      </c>
      <c r="H220" s="426" t="s">
        <v>355</v>
      </c>
      <c r="I220" s="435">
        <v>3013970</v>
      </c>
      <c r="J220" s="153" t="s">
        <v>349</v>
      </c>
      <c r="K220" s="384"/>
      <c r="L220" s="412"/>
      <c r="M220" s="450"/>
      <c r="N220" s="244"/>
      <c r="O220" s="258"/>
    </row>
    <row r="221" spans="2:15" customFormat="1">
      <c r="B221" s="104"/>
      <c r="C221" s="104" t="s">
        <v>373</v>
      </c>
      <c r="D221" s="378" t="e" cm="1">
        <f t="array" aca="1" ref="D22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21" s="99" t="s">
        <v>865</v>
      </c>
      <c r="F221" s="104" t="s">
        <v>350</v>
      </c>
      <c r="G221" s="99" t="s">
        <v>875</v>
      </c>
      <c r="H221" s="426" t="s">
        <v>351</v>
      </c>
      <c r="I221" s="435">
        <v>39521993</v>
      </c>
      <c r="J221" s="153" t="s">
        <v>346</v>
      </c>
      <c r="K221" s="384" t="s">
        <v>116</v>
      </c>
      <c r="L221" s="412" t="s">
        <v>860</v>
      </c>
      <c r="M221" s="450" t="s">
        <v>876</v>
      </c>
      <c r="N221" s="97">
        <v>2026</v>
      </c>
      <c r="O221" s="258"/>
    </row>
    <row r="222" spans="2:15" customFormat="1">
      <c r="B222" s="104"/>
      <c r="C222" s="383" t="s">
        <v>128</v>
      </c>
      <c r="D222" s="378" t="e" cm="1">
        <f t="array" aca="1" ref="D22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22" s="99" t="s">
        <v>879</v>
      </c>
      <c r="F222" s="104" t="s">
        <v>350</v>
      </c>
      <c r="G222" s="99" t="s">
        <v>875</v>
      </c>
      <c r="H222" s="426" t="s">
        <v>348</v>
      </c>
      <c r="I222" s="435">
        <v>39000000</v>
      </c>
      <c r="J222" s="153" t="s">
        <v>349</v>
      </c>
      <c r="K222" s="384" t="s">
        <v>116</v>
      </c>
      <c r="L222" s="412" t="s">
        <v>860</v>
      </c>
      <c r="M222" s="450"/>
      <c r="N222" s="97">
        <v>2026</v>
      </c>
      <c r="O222" s="258"/>
    </row>
    <row r="223" spans="2:15" customFormat="1">
      <c r="B223" s="104"/>
      <c r="C223" s="104" t="s">
        <v>373</v>
      </c>
      <c r="D223" s="378" t="e" cm="1">
        <f t="array" aca="1" ref="D22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23" s="99" t="s">
        <v>879</v>
      </c>
      <c r="F223" s="104" t="s">
        <v>350</v>
      </c>
      <c r="G223" s="99" t="s">
        <v>875</v>
      </c>
      <c r="H223" s="426" t="s">
        <v>348</v>
      </c>
      <c r="I223" s="435">
        <v>42000000</v>
      </c>
      <c r="J223" s="153" t="s">
        <v>349</v>
      </c>
      <c r="K223" s="384" t="s">
        <v>116</v>
      </c>
      <c r="L223" s="412" t="s">
        <v>860</v>
      </c>
      <c r="M223" s="450"/>
      <c r="N223" s="97">
        <v>2026</v>
      </c>
      <c r="O223" s="258"/>
    </row>
    <row r="224" spans="2:15" customFormat="1">
      <c r="B224" s="104"/>
      <c r="C224" s="104" t="s">
        <v>373</v>
      </c>
      <c r="D224" s="378" t="e" cm="1">
        <f t="array" aca="1" ref="D22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24" s="99" t="s">
        <v>384</v>
      </c>
      <c r="F224" s="104" t="s">
        <v>350</v>
      </c>
      <c r="G224" s="99" t="s">
        <v>875</v>
      </c>
      <c r="H224" s="426" t="s">
        <v>342</v>
      </c>
      <c r="I224" s="435">
        <v>5555500</v>
      </c>
      <c r="J224" s="153" t="s">
        <v>349</v>
      </c>
      <c r="K224" s="384" t="s">
        <v>116</v>
      </c>
      <c r="L224" s="412" t="s">
        <v>860</v>
      </c>
      <c r="M224" s="450"/>
      <c r="N224" s="97">
        <v>2026</v>
      </c>
      <c r="O224" s="258"/>
    </row>
    <row r="225" spans="2:15" customFormat="1">
      <c r="B225" s="104"/>
      <c r="C225" s="104" t="s">
        <v>373</v>
      </c>
      <c r="D225" s="378" t="e" cm="1">
        <f t="array" aca="1" ref="D22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25" s="99" t="s">
        <v>384</v>
      </c>
      <c r="F225" s="104" t="s">
        <v>350</v>
      </c>
      <c r="G225" s="99" t="s">
        <v>875</v>
      </c>
      <c r="H225" s="426" t="s">
        <v>345</v>
      </c>
      <c r="I225" s="435">
        <v>7728499.9999999991</v>
      </c>
      <c r="J225" s="153" t="s">
        <v>346</v>
      </c>
      <c r="K225" s="384" t="s">
        <v>116</v>
      </c>
      <c r="L225" s="412" t="s">
        <v>860</v>
      </c>
      <c r="M225" s="450"/>
      <c r="N225" s="97">
        <v>2026</v>
      </c>
      <c r="O225" s="258"/>
    </row>
    <row r="226" spans="2:15" customFormat="1">
      <c r="B226" s="104"/>
      <c r="C226" s="104" t="s">
        <v>373</v>
      </c>
      <c r="D226" s="378" t="e" cm="1">
        <f t="array" aca="1" ref="D22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26" s="99" t="s">
        <v>384</v>
      </c>
      <c r="F226" s="104" t="s">
        <v>350</v>
      </c>
      <c r="G226" s="99" t="s">
        <v>875</v>
      </c>
      <c r="H226" s="426" t="s">
        <v>348</v>
      </c>
      <c r="I226" s="435">
        <v>5235187.5</v>
      </c>
      <c r="J226" s="153" t="s">
        <v>343</v>
      </c>
      <c r="K226" s="384" t="s">
        <v>116</v>
      </c>
      <c r="L226" s="412" t="s">
        <v>860</v>
      </c>
      <c r="M226" s="450"/>
      <c r="N226" s="97">
        <v>2026</v>
      </c>
      <c r="O226" s="258"/>
    </row>
    <row r="227" spans="2:15" customFormat="1">
      <c r="B227" s="104"/>
      <c r="C227" s="104" t="s">
        <v>373</v>
      </c>
      <c r="D227" s="378" t="e" cm="1">
        <f t="array" aca="1" ref="D22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27" s="99" t="s">
        <v>878</v>
      </c>
      <c r="F227" s="104" t="s">
        <v>350</v>
      </c>
      <c r="G227" s="99" t="s">
        <v>875</v>
      </c>
      <c r="H227" s="426" t="s">
        <v>342</v>
      </c>
      <c r="I227" s="435">
        <v>57588306</v>
      </c>
      <c r="J227" s="153" t="s">
        <v>349</v>
      </c>
      <c r="K227" s="384" t="s">
        <v>116</v>
      </c>
      <c r="L227" s="412" t="s">
        <v>860</v>
      </c>
      <c r="M227" s="450"/>
      <c r="N227" s="97">
        <v>2026</v>
      </c>
      <c r="O227" s="258"/>
    </row>
    <row r="228" spans="2:15" customFormat="1">
      <c r="B228" s="104"/>
      <c r="C228" s="104" t="s">
        <v>373</v>
      </c>
      <c r="D228" s="378" t="e" cm="1">
        <f t="array" aca="1" ref="D22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28" s="99" t="s">
        <v>878</v>
      </c>
      <c r="F228" s="104" t="s">
        <v>350</v>
      </c>
      <c r="G228" s="99" t="s">
        <v>875</v>
      </c>
      <c r="H228" s="426" t="s">
        <v>345</v>
      </c>
      <c r="I228" s="435">
        <v>52491002</v>
      </c>
      <c r="J228" s="303" t="s">
        <v>349</v>
      </c>
      <c r="K228" s="384" t="s">
        <v>116</v>
      </c>
      <c r="L228" s="412" t="s">
        <v>860</v>
      </c>
      <c r="M228" s="450"/>
      <c r="N228" s="97">
        <v>2026</v>
      </c>
      <c r="O228" s="258"/>
    </row>
    <row r="229" spans="2:15" customFormat="1">
      <c r="B229" s="104"/>
      <c r="C229" s="104" t="s">
        <v>432</v>
      </c>
      <c r="D229" s="378" t="e" cm="1">
        <f t="array" aca="1" ref="D22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29" s="99" t="s">
        <v>874</v>
      </c>
      <c r="F229" s="104" t="s">
        <v>350</v>
      </c>
      <c r="G229" s="99" t="s">
        <v>875</v>
      </c>
      <c r="H229" s="426" t="s">
        <v>342</v>
      </c>
      <c r="I229" s="435">
        <v>250181744</v>
      </c>
      <c r="J229" s="153" t="s">
        <v>349</v>
      </c>
      <c r="K229" s="384" t="s">
        <v>880</v>
      </c>
      <c r="L229" s="412" t="s">
        <v>858</v>
      </c>
      <c r="M229" s="97"/>
      <c r="N229" s="97">
        <v>2026</v>
      </c>
      <c r="O229" s="258"/>
    </row>
    <row r="230" spans="2:15" customFormat="1">
      <c r="B230" s="104"/>
      <c r="C230" s="104" t="s">
        <v>432</v>
      </c>
      <c r="D230" s="378" t="e" cm="1">
        <f t="array" aca="1" ref="D23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30" s="99" t="s">
        <v>874</v>
      </c>
      <c r="F230" s="104" t="s">
        <v>350</v>
      </c>
      <c r="G230" s="99" t="s">
        <v>875</v>
      </c>
      <c r="H230" s="426" t="s">
        <v>345</v>
      </c>
      <c r="I230" s="435">
        <v>251694761</v>
      </c>
      <c r="J230" s="153" t="s">
        <v>349</v>
      </c>
      <c r="K230" s="384" t="s">
        <v>880</v>
      </c>
      <c r="L230" s="412" t="s">
        <v>858</v>
      </c>
      <c r="M230" s="97"/>
      <c r="N230" s="97">
        <v>2026</v>
      </c>
      <c r="O230" s="258"/>
    </row>
    <row r="231" spans="2:15" customFormat="1">
      <c r="B231" s="104"/>
      <c r="C231" s="104" t="s">
        <v>432</v>
      </c>
      <c r="D231" s="378" t="e" cm="1">
        <f t="array" aca="1" ref="D23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31" s="99" t="s">
        <v>874</v>
      </c>
      <c r="F231" s="104" t="s">
        <v>350</v>
      </c>
      <c r="G231" s="99" t="s">
        <v>875</v>
      </c>
      <c r="H231" s="426" t="s">
        <v>348</v>
      </c>
      <c r="I231" s="435">
        <v>251760772</v>
      </c>
      <c r="J231" s="153" t="s">
        <v>349</v>
      </c>
      <c r="K231" s="384" t="s">
        <v>880</v>
      </c>
      <c r="L231" s="412" t="s">
        <v>858</v>
      </c>
      <c r="M231" s="97"/>
      <c r="N231" s="97">
        <v>2026</v>
      </c>
      <c r="O231" s="258"/>
    </row>
    <row r="232" spans="2:15" customFormat="1">
      <c r="B232" s="104"/>
      <c r="C232" s="104" t="s">
        <v>432</v>
      </c>
      <c r="D232" s="378" t="e" cm="1">
        <f t="array" aca="1" ref="D23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32" t="s">
        <v>878</v>
      </c>
      <c r="F232" s="104" t="s">
        <v>350</v>
      </c>
      <c r="G232" s="99" t="s">
        <v>875</v>
      </c>
      <c r="H232" s="426" t="s">
        <v>342</v>
      </c>
      <c r="I232" s="435">
        <v>7760115</v>
      </c>
      <c r="J232" s="153" t="s">
        <v>349</v>
      </c>
      <c r="K232" s="384" t="s">
        <v>880</v>
      </c>
      <c r="L232" s="412" t="s">
        <v>860</v>
      </c>
      <c r="M232" s="97"/>
      <c r="N232" s="97">
        <v>2026</v>
      </c>
      <c r="O232" s="258"/>
    </row>
    <row r="233" spans="2:15" customFormat="1">
      <c r="B233" s="104"/>
      <c r="C233" s="104" t="s">
        <v>432</v>
      </c>
      <c r="D233" s="378" t="e" cm="1">
        <f t="array" aca="1" ref="D23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33" s="99" t="s">
        <v>878</v>
      </c>
      <c r="F233" s="104" t="s">
        <v>350</v>
      </c>
      <c r="G233" s="99" t="s">
        <v>875</v>
      </c>
      <c r="H233" s="426" t="s">
        <v>345</v>
      </c>
      <c r="I233" s="435">
        <v>40616300</v>
      </c>
      <c r="J233" s="153" t="s">
        <v>349</v>
      </c>
      <c r="K233" s="384" t="s">
        <v>880</v>
      </c>
      <c r="L233" s="412" t="s">
        <v>860</v>
      </c>
      <c r="M233" s="97"/>
      <c r="N233" s="97">
        <v>2026</v>
      </c>
      <c r="O233" s="258"/>
    </row>
    <row r="234" spans="2:15" customFormat="1">
      <c r="B234" s="104"/>
      <c r="C234" s="104" t="s">
        <v>432</v>
      </c>
      <c r="D234" s="378" t="e" cm="1">
        <f t="array" aca="1" ref="D23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34" s="99" t="s">
        <v>878</v>
      </c>
      <c r="F234" s="104" t="s">
        <v>350</v>
      </c>
      <c r="G234" s="99" t="s">
        <v>875</v>
      </c>
      <c r="H234" s="426" t="s">
        <v>348</v>
      </c>
      <c r="I234" s="435">
        <v>27178374</v>
      </c>
      <c r="J234" s="153" t="s">
        <v>346</v>
      </c>
      <c r="K234" s="384" t="s">
        <v>880</v>
      </c>
      <c r="L234" s="412" t="s">
        <v>860</v>
      </c>
      <c r="M234" s="97"/>
      <c r="N234" s="97">
        <v>2026</v>
      </c>
      <c r="O234" s="258"/>
    </row>
    <row r="235" spans="2:15" customFormat="1">
      <c r="B235" s="104"/>
      <c r="C235" s="104" t="s">
        <v>432</v>
      </c>
      <c r="D235" s="378" t="e" cm="1">
        <f t="array" aca="1" ref="D23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35" s="99" t="s">
        <v>865</v>
      </c>
      <c r="F235" s="104" t="s">
        <v>350</v>
      </c>
      <c r="G235" s="99" t="s">
        <v>875</v>
      </c>
      <c r="H235" s="426" t="s">
        <v>345</v>
      </c>
      <c r="I235" s="435">
        <v>2322665</v>
      </c>
      <c r="J235" s="153" t="s">
        <v>349</v>
      </c>
      <c r="K235" s="384" t="s">
        <v>880</v>
      </c>
      <c r="L235" s="412" t="s">
        <v>860</v>
      </c>
      <c r="M235" s="97"/>
      <c r="N235" s="97">
        <v>2026</v>
      </c>
      <c r="O235" s="258"/>
    </row>
    <row r="236" spans="2:15" customFormat="1">
      <c r="B236" s="104"/>
      <c r="C236" s="104" t="s">
        <v>432</v>
      </c>
      <c r="D236" s="378" t="e" cm="1">
        <f t="array" aca="1" ref="D23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36" s="99" t="s">
        <v>865</v>
      </c>
      <c r="F236" s="104" t="s">
        <v>350</v>
      </c>
      <c r="G236" s="99" t="s">
        <v>875</v>
      </c>
      <c r="H236" s="426" t="s">
        <v>348</v>
      </c>
      <c r="I236" s="435">
        <v>100000</v>
      </c>
      <c r="J236" s="153" t="s">
        <v>349</v>
      </c>
      <c r="K236" s="384" t="s">
        <v>880</v>
      </c>
      <c r="L236" s="412" t="s">
        <v>860</v>
      </c>
      <c r="M236" s="97"/>
      <c r="N236" s="97">
        <v>2026</v>
      </c>
      <c r="O236" s="258"/>
    </row>
    <row r="237" spans="2:15" customFormat="1">
      <c r="B237" s="104"/>
      <c r="C237" s="104" t="s">
        <v>432</v>
      </c>
      <c r="D237" s="378" t="e" cm="1">
        <f t="array" aca="1" ref="D23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37" s="99" t="s">
        <v>881</v>
      </c>
      <c r="F237" s="104" t="s">
        <v>350</v>
      </c>
      <c r="G237" s="99" t="s">
        <v>875</v>
      </c>
      <c r="H237" s="426" t="s">
        <v>348</v>
      </c>
      <c r="I237" s="435">
        <v>14520000</v>
      </c>
      <c r="J237" s="153" t="s">
        <v>349</v>
      </c>
      <c r="K237" s="384" t="s">
        <v>880</v>
      </c>
      <c r="L237" s="412" t="s">
        <v>860</v>
      </c>
      <c r="M237" s="97"/>
      <c r="N237" s="97">
        <v>2026</v>
      </c>
      <c r="O237" s="258"/>
    </row>
    <row r="238" spans="2:15" customFormat="1">
      <c r="B238" s="104"/>
      <c r="C238" s="104" t="s">
        <v>373</v>
      </c>
      <c r="D238" s="378" t="e" cm="1">
        <f t="array" aca="1" ref="D23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38" s="390" t="s">
        <v>882</v>
      </c>
      <c r="F238" s="104" t="s">
        <v>352</v>
      </c>
      <c r="G238" s="99" t="s">
        <v>883</v>
      </c>
      <c r="H238" s="425" t="s">
        <v>342</v>
      </c>
      <c r="I238" s="395">
        <v>139840000</v>
      </c>
      <c r="J238" s="105" t="s">
        <v>349</v>
      </c>
      <c r="K238" s="96" t="s">
        <v>884</v>
      </c>
      <c r="L238" s="99" t="s">
        <v>858</v>
      </c>
      <c r="M238" s="97"/>
      <c r="N238" s="97">
        <v>2026</v>
      </c>
      <c r="O238" s="258"/>
    </row>
    <row r="239" spans="2:15" customFormat="1">
      <c r="B239" s="104"/>
      <c r="C239" s="104" t="s">
        <v>373</v>
      </c>
      <c r="D239" s="378" t="e" cm="1">
        <f t="array" aca="1" ref="D23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39" s="390" t="s">
        <v>882</v>
      </c>
      <c r="F239" s="104" t="s">
        <v>352</v>
      </c>
      <c r="G239" s="99" t="s">
        <v>883</v>
      </c>
      <c r="H239" s="425" t="s">
        <v>345</v>
      </c>
      <c r="I239" s="395">
        <v>139840000</v>
      </c>
      <c r="J239" s="105" t="s">
        <v>349</v>
      </c>
      <c r="K239" s="96" t="s">
        <v>884</v>
      </c>
      <c r="L239" s="99" t="s">
        <v>858</v>
      </c>
      <c r="M239" s="97"/>
      <c r="N239" s="97">
        <v>2026</v>
      </c>
      <c r="O239" s="258"/>
    </row>
    <row r="240" spans="2:15" customFormat="1">
      <c r="B240" s="104"/>
      <c r="C240" s="104" t="s">
        <v>373</v>
      </c>
      <c r="D240" s="378" t="e" cm="1">
        <f t="array" aca="1" ref="D24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40" s="390" t="s">
        <v>882</v>
      </c>
      <c r="F240" s="104" t="s">
        <v>352</v>
      </c>
      <c r="G240" s="99" t="s">
        <v>883</v>
      </c>
      <c r="H240" s="425" t="s">
        <v>348</v>
      </c>
      <c r="I240" s="395">
        <v>139840000</v>
      </c>
      <c r="J240" s="105" t="s">
        <v>349</v>
      </c>
      <c r="K240" s="96" t="s">
        <v>884</v>
      </c>
      <c r="L240" s="99" t="s">
        <v>858</v>
      </c>
      <c r="M240" s="97"/>
      <c r="N240" s="97">
        <v>2026</v>
      </c>
      <c r="O240" s="258"/>
    </row>
    <row r="241" spans="2:15" customFormat="1">
      <c r="B241" s="104"/>
      <c r="C241" s="104" t="s">
        <v>373</v>
      </c>
      <c r="D241" s="378" t="e" cm="1">
        <f t="array" aca="1" ref="D24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41" s="390" t="s">
        <v>885</v>
      </c>
      <c r="F241" s="387" t="s">
        <v>352</v>
      </c>
      <c r="G241" s="99" t="s">
        <v>883</v>
      </c>
      <c r="H241" s="428" t="s">
        <v>342</v>
      </c>
      <c r="I241" s="395">
        <v>16077250</v>
      </c>
      <c r="J241" s="105" t="s">
        <v>349</v>
      </c>
      <c r="K241" s="96" t="s">
        <v>886</v>
      </c>
      <c r="L241" s="99" t="s">
        <v>858</v>
      </c>
      <c r="M241" s="97"/>
      <c r="N241" s="97">
        <v>2026</v>
      </c>
      <c r="O241" s="258"/>
    </row>
    <row r="242" spans="2:15" customFormat="1">
      <c r="B242" s="104"/>
      <c r="C242" s="104" t="s">
        <v>373</v>
      </c>
      <c r="D242" s="378" t="e" cm="1">
        <f t="array" aca="1" ref="D24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42" s="390" t="s">
        <v>885</v>
      </c>
      <c r="F242" s="387" t="s">
        <v>352</v>
      </c>
      <c r="G242" s="99" t="s">
        <v>883</v>
      </c>
      <c r="H242" s="428" t="s">
        <v>342</v>
      </c>
      <c r="I242" s="395">
        <v>22162813</v>
      </c>
      <c r="J242" s="105" t="s">
        <v>349</v>
      </c>
      <c r="K242" s="96" t="s">
        <v>886</v>
      </c>
      <c r="L242" s="99" t="s">
        <v>858</v>
      </c>
      <c r="M242" s="97"/>
      <c r="N242" s="97">
        <v>2026</v>
      </c>
      <c r="O242" s="258"/>
    </row>
    <row r="243" spans="2:15" customFormat="1">
      <c r="B243" s="104"/>
      <c r="C243" s="104" t="s">
        <v>373</v>
      </c>
      <c r="D243" s="378" t="e" cm="1">
        <f t="array" aca="1" ref="D24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43" s="390" t="s">
        <v>885</v>
      </c>
      <c r="F243" s="387" t="s">
        <v>352</v>
      </c>
      <c r="G243" s="99" t="s">
        <v>883</v>
      </c>
      <c r="H243" s="428" t="s">
        <v>342</v>
      </c>
      <c r="I243" s="395">
        <v>18352750</v>
      </c>
      <c r="J243" s="153" t="s">
        <v>349</v>
      </c>
      <c r="K243" s="96" t="s">
        <v>886</v>
      </c>
      <c r="L243" s="99" t="s">
        <v>858</v>
      </c>
      <c r="M243" s="97"/>
      <c r="N243" s="97">
        <v>2026</v>
      </c>
      <c r="O243" s="258"/>
    </row>
    <row r="244" spans="2:15" customFormat="1">
      <c r="B244" s="104"/>
      <c r="C244" s="104" t="s">
        <v>373</v>
      </c>
      <c r="D244" s="378" t="e" cm="1">
        <f t="array" aca="1" ref="D24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44" s="390" t="s">
        <v>885</v>
      </c>
      <c r="F244" s="387" t="s">
        <v>352</v>
      </c>
      <c r="G244" s="99" t="s">
        <v>883</v>
      </c>
      <c r="H244" s="428" t="s">
        <v>342</v>
      </c>
      <c r="I244" s="395">
        <v>77210500</v>
      </c>
      <c r="J244" s="105" t="s">
        <v>349</v>
      </c>
      <c r="K244" s="96" t="s">
        <v>886</v>
      </c>
      <c r="L244" s="99" t="s">
        <v>858</v>
      </c>
      <c r="M244" s="97"/>
      <c r="N244" s="97">
        <v>2026</v>
      </c>
      <c r="O244" s="258"/>
    </row>
    <row r="245" spans="2:15" customFormat="1">
      <c r="B245" s="104"/>
      <c r="C245" s="104" t="s">
        <v>373</v>
      </c>
      <c r="D245" s="378" t="e" cm="1">
        <f t="array" aca="1" ref="D24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45" s="390" t="s">
        <v>885</v>
      </c>
      <c r="F245" s="387" t="s">
        <v>352</v>
      </c>
      <c r="G245" s="99" t="s">
        <v>883</v>
      </c>
      <c r="H245" s="428" t="s">
        <v>345</v>
      </c>
      <c r="I245" s="395">
        <v>16067250</v>
      </c>
      <c r="J245" s="105" t="s">
        <v>349</v>
      </c>
      <c r="K245" s="96" t="s">
        <v>886</v>
      </c>
      <c r="L245" s="99" t="s">
        <v>858</v>
      </c>
      <c r="M245" s="452"/>
      <c r="N245" s="97">
        <v>2026</v>
      </c>
      <c r="O245" s="258"/>
    </row>
    <row r="246" spans="2:15" customFormat="1">
      <c r="B246" s="104"/>
      <c r="C246" s="104" t="s">
        <v>373</v>
      </c>
      <c r="D246" s="378" t="e" cm="1">
        <f t="array" aca="1" ref="D24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46" s="390" t="s">
        <v>885</v>
      </c>
      <c r="F246" s="387" t="s">
        <v>352</v>
      </c>
      <c r="G246" s="99" t="s">
        <v>883</v>
      </c>
      <c r="H246" s="428" t="s">
        <v>345</v>
      </c>
      <c r="I246" s="395">
        <v>14402250</v>
      </c>
      <c r="J246" s="105" t="s">
        <v>349</v>
      </c>
      <c r="K246" s="96" t="s">
        <v>886</v>
      </c>
      <c r="L246" s="99" t="s">
        <v>858</v>
      </c>
      <c r="M246" s="452"/>
      <c r="N246" s="97">
        <v>2026</v>
      </c>
      <c r="O246" s="258"/>
    </row>
    <row r="247" spans="2:15" customFormat="1">
      <c r="B247" s="104"/>
      <c r="C247" s="104" t="s">
        <v>373</v>
      </c>
      <c r="D247" s="378" t="e" cm="1">
        <f t="array" aca="1" ref="D24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47" s="390" t="s">
        <v>885</v>
      </c>
      <c r="F247" s="387" t="s">
        <v>352</v>
      </c>
      <c r="G247" s="99" t="s">
        <v>883</v>
      </c>
      <c r="H247" s="428" t="s">
        <v>345</v>
      </c>
      <c r="I247" s="395">
        <v>18342750</v>
      </c>
      <c r="J247" s="105" t="s">
        <v>349</v>
      </c>
      <c r="K247" s="96" t="s">
        <v>886</v>
      </c>
      <c r="L247" s="99" t="s">
        <v>858</v>
      </c>
      <c r="M247" s="452"/>
      <c r="N247" s="97">
        <v>2026</v>
      </c>
      <c r="O247" s="258"/>
    </row>
    <row r="248" spans="2:15" customFormat="1">
      <c r="B248" s="104"/>
      <c r="C248" s="104" t="s">
        <v>373</v>
      </c>
      <c r="D248" s="378" t="e" cm="1">
        <f t="array" aca="1" ref="D24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48" s="390" t="s">
        <v>885</v>
      </c>
      <c r="F248" s="387" t="s">
        <v>352</v>
      </c>
      <c r="G248" s="99" t="s">
        <v>883</v>
      </c>
      <c r="H248" s="428" t="s">
        <v>345</v>
      </c>
      <c r="I248" s="395">
        <v>77256000</v>
      </c>
      <c r="J248" s="105" t="s">
        <v>349</v>
      </c>
      <c r="K248" s="96" t="s">
        <v>886</v>
      </c>
      <c r="L248" s="99" t="s">
        <v>858</v>
      </c>
      <c r="M248" s="97"/>
      <c r="N248" s="97">
        <v>2026</v>
      </c>
      <c r="O248" s="258"/>
    </row>
    <row r="249" spans="2:15" customFormat="1">
      <c r="B249" s="104"/>
      <c r="C249" s="104" t="s">
        <v>373</v>
      </c>
      <c r="D249" s="378" t="e" cm="1">
        <f t="array" aca="1" ref="D24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49" s="390" t="s">
        <v>885</v>
      </c>
      <c r="F249" s="387" t="s">
        <v>352</v>
      </c>
      <c r="G249" s="99" t="s">
        <v>883</v>
      </c>
      <c r="H249" s="428" t="s">
        <v>348</v>
      </c>
      <c r="I249" s="395">
        <v>16077250</v>
      </c>
      <c r="J249" s="105" t="s">
        <v>349</v>
      </c>
      <c r="K249" s="96" t="s">
        <v>886</v>
      </c>
      <c r="L249" s="99" t="s">
        <v>858</v>
      </c>
      <c r="M249" s="97"/>
      <c r="N249" s="97">
        <v>2026</v>
      </c>
      <c r="O249" s="258"/>
    </row>
    <row r="250" spans="2:15" customFormat="1">
      <c r="B250" s="104"/>
      <c r="C250" s="104" t="s">
        <v>373</v>
      </c>
      <c r="D250" s="378" t="e" cm="1">
        <f t="array" aca="1" ref="D25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50" s="390" t="s">
        <v>885</v>
      </c>
      <c r="F250" s="387" t="s">
        <v>352</v>
      </c>
      <c r="G250" s="99" t="s">
        <v>883</v>
      </c>
      <c r="H250" s="428" t="s">
        <v>348</v>
      </c>
      <c r="I250" s="395">
        <v>14412250</v>
      </c>
      <c r="J250" s="105" t="s">
        <v>349</v>
      </c>
      <c r="K250" s="96" t="s">
        <v>886</v>
      </c>
      <c r="L250" s="99" t="s">
        <v>858</v>
      </c>
      <c r="M250" s="97"/>
      <c r="N250" s="97">
        <v>2026</v>
      </c>
      <c r="O250" s="258"/>
    </row>
    <row r="251" spans="2:15" customFormat="1">
      <c r="B251" s="104"/>
      <c r="C251" s="104" t="s">
        <v>373</v>
      </c>
      <c r="D251" s="378" t="e" cm="1">
        <f t="array" aca="1" ref="D25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51" s="390" t="s">
        <v>885</v>
      </c>
      <c r="F251" s="104" t="s">
        <v>352</v>
      </c>
      <c r="G251" s="99" t="s">
        <v>883</v>
      </c>
      <c r="H251" s="428" t="s">
        <v>348</v>
      </c>
      <c r="I251" s="395">
        <v>18352750</v>
      </c>
      <c r="J251" s="105" t="s">
        <v>349</v>
      </c>
      <c r="K251" s="96" t="s">
        <v>886</v>
      </c>
      <c r="L251" s="99" t="s">
        <v>858</v>
      </c>
      <c r="M251" s="97"/>
      <c r="N251" s="97">
        <v>2026</v>
      </c>
      <c r="O251" s="258"/>
    </row>
    <row r="252" spans="2:15" customFormat="1">
      <c r="B252" s="104"/>
      <c r="C252" s="104" t="s">
        <v>373</v>
      </c>
      <c r="D252" s="378" t="e" cm="1">
        <f t="array" aca="1" ref="D25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52" s="390" t="s">
        <v>885</v>
      </c>
      <c r="F252" s="104" t="s">
        <v>352</v>
      </c>
      <c r="G252" s="99" t="s">
        <v>883</v>
      </c>
      <c r="H252" s="428" t="s">
        <v>348</v>
      </c>
      <c r="I252" s="395">
        <v>77293750</v>
      </c>
      <c r="J252" s="105" t="s">
        <v>349</v>
      </c>
      <c r="K252" s="96" t="s">
        <v>886</v>
      </c>
      <c r="L252" s="99" t="s">
        <v>858</v>
      </c>
      <c r="M252" s="97"/>
      <c r="N252" s="97">
        <v>2026</v>
      </c>
      <c r="O252" s="258"/>
    </row>
    <row r="253" spans="2:15" customFormat="1">
      <c r="B253" s="104"/>
      <c r="C253" s="104" t="s">
        <v>373</v>
      </c>
      <c r="D253" s="378" t="e" cm="1">
        <f t="array" aca="1" ref="D25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53" s="390" t="s">
        <v>885</v>
      </c>
      <c r="F253" s="104" t="s">
        <v>352</v>
      </c>
      <c r="G253" s="99" t="s">
        <v>883</v>
      </c>
      <c r="H253" s="428" t="s">
        <v>351</v>
      </c>
      <c r="I253" s="395">
        <v>15900750</v>
      </c>
      <c r="J253" s="105" t="s">
        <v>349</v>
      </c>
      <c r="K253" s="96" t="s">
        <v>886</v>
      </c>
      <c r="L253" s="99" t="s">
        <v>858</v>
      </c>
      <c r="M253" s="97"/>
      <c r="N253" s="97">
        <v>2026</v>
      </c>
      <c r="O253" s="258"/>
    </row>
    <row r="254" spans="2:15" customFormat="1">
      <c r="B254" s="104"/>
      <c r="C254" s="388" t="s">
        <v>373</v>
      </c>
      <c r="D254" s="378" t="e" cm="1">
        <f t="array" aca="1" ref="D25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54" s="390" t="s">
        <v>885</v>
      </c>
      <c r="F254" s="104" t="s">
        <v>352</v>
      </c>
      <c r="G254" s="99" t="s">
        <v>883</v>
      </c>
      <c r="H254" s="428" t="s">
        <v>342</v>
      </c>
      <c r="I254" s="410">
        <v>3520538</v>
      </c>
      <c r="J254" s="105" t="s">
        <v>349</v>
      </c>
      <c r="K254" s="96" t="s">
        <v>887</v>
      </c>
      <c r="L254" s="99" t="s">
        <v>858</v>
      </c>
      <c r="M254" s="450" t="s">
        <v>888</v>
      </c>
      <c r="N254" s="97">
        <v>2026</v>
      </c>
      <c r="O254" s="258"/>
    </row>
    <row r="255" spans="2:15" customFormat="1">
      <c r="B255" s="104"/>
      <c r="C255" s="388" t="s">
        <v>373</v>
      </c>
      <c r="D255" s="378" t="e" cm="1">
        <f t="array" aca="1" ref="D25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55" s="390" t="s">
        <v>885</v>
      </c>
      <c r="F255" s="104" t="s">
        <v>352</v>
      </c>
      <c r="G255" s="99" t="s">
        <v>883</v>
      </c>
      <c r="H255" s="428" t="s">
        <v>345</v>
      </c>
      <c r="I255" s="410">
        <v>3520538</v>
      </c>
      <c r="J255" s="105" t="s">
        <v>349</v>
      </c>
      <c r="K255" s="96" t="s">
        <v>887</v>
      </c>
      <c r="L255" s="99" t="s">
        <v>858</v>
      </c>
      <c r="M255" s="450" t="s">
        <v>889</v>
      </c>
      <c r="N255" s="97">
        <v>2026</v>
      </c>
      <c r="O255" s="258"/>
    </row>
    <row r="256" spans="2:15" customFormat="1">
      <c r="B256" s="104"/>
      <c r="C256" s="388" t="s">
        <v>373</v>
      </c>
      <c r="D256" s="378" t="e" cm="1">
        <f t="array" aca="1" ref="D25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56" s="390" t="s">
        <v>885</v>
      </c>
      <c r="F256" s="104" t="s">
        <v>352</v>
      </c>
      <c r="G256" s="99" t="s">
        <v>883</v>
      </c>
      <c r="H256" s="428" t="s">
        <v>348</v>
      </c>
      <c r="I256" s="410">
        <v>3520538</v>
      </c>
      <c r="J256" s="105" t="s">
        <v>349</v>
      </c>
      <c r="K256" s="96" t="s">
        <v>887</v>
      </c>
      <c r="L256" s="99" t="s">
        <v>858</v>
      </c>
      <c r="M256" s="97"/>
      <c r="N256" s="97">
        <v>2026</v>
      </c>
      <c r="O256" s="258"/>
    </row>
    <row r="257" spans="2:15" customFormat="1">
      <c r="B257" s="104"/>
      <c r="C257" s="388" t="s">
        <v>373</v>
      </c>
      <c r="D257" s="378" t="e" cm="1">
        <f t="array" aca="1" ref="D25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57" s="390" t="s">
        <v>890</v>
      </c>
      <c r="F257" s="104" t="s">
        <v>352</v>
      </c>
      <c r="G257" s="99" t="s">
        <v>891</v>
      </c>
      <c r="H257" s="428" t="s">
        <v>342</v>
      </c>
      <c r="I257" s="410">
        <v>7500000</v>
      </c>
      <c r="J257" s="105" t="s">
        <v>349</v>
      </c>
      <c r="K257" s="389" t="s">
        <v>892</v>
      </c>
      <c r="L257" s="99" t="s">
        <v>858</v>
      </c>
      <c r="M257" s="450" t="s">
        <v>893</v>
      </c>
      <c r="N257" s="97">
        <v>2026</v>
      </c>
      <c r="O257" s="501">
        <v>512171</v>
      </c>
    </row>
    <row r="258" spans="2:15" customFormat="1">
      <c r="B258" s="104"/>
      <c r="C258" s="388" t="s">
        <v>373</v>
      </c>
      <c r="D258" s="378" t="e" cm="1">
        <f t="array" aca="1" ref="D25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58" s="390" t="s">
        <v>890</v>
      </c>
      <c r="F258" s="104" t="s">
        <v>352</v>
      </c>
      <c r="G258" s="99" t="s">
        <v>894</v>
      </c>
      <c r="H258" s="428" t="s">
        <v>345</v>
      </c>
      <c r="I258" s="410">
        <v>7500000</v>
      </c>
      <c r="J258" s="105" t="s">
        <v>349</v>
      </c>
      <c r="K258" s="389" t="s">
        <v>892</v>
      </c>
      <c r="L258" s="99" t="s">
        <v>858</v>
      </c>
      <c r="M258" s="450" t="s">
        <v>895</v>
      </c>
      <c r="N258" s="97">
        <v>2026</v>
      </c>
      <c r="O258" s="258">
        <v>512170</v>
      </c>
    </row>
    <row r="259" spans="2:15" s="38" customFormat="1">
      <c r="B259" s="104"/>
      <c r="C259" s="178" t="s">
        <v>422</v>
      </c>
      <c r="D259" s="378" t="e" cm="1">
        <f t="array" aca="1" ref="D25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59" s="390" t="s">
        <v>885</v>
      </c>
      <c r="F259" s="178" t="s">
        <v>352</v>
      </c>
      <c r="G259" s="390" t="s">
        <v>891</v>
      </c>
      <c r="H259" s="429" t="s">
        <v>342</v>
      </c>
      <c r="I259" s="437">
        <v>80100000</v>
      </c>
      <c r="J259" s="391" t="s">
        <v>349</v>
      </c>
      <c r="K259" s="389" t="s">
        <v>896</v>
      </c>
      <c r="L259" s="99" t="s">
        <v>858</v>
      </c>
      <c r="M259" s="494" t="s">
        <v>897</v>
      </c>
      <c r="N259" s="97">
        <v>2026</v>
      </c>
      <c r="O259" s="495">
        <v>512182</v>
      </c>
    </row>
    <row r="260" spans="2:15" s="38" customFormat="1">
      <c r="B260" s="104"/>
      <c r="C260" s="178" t="s">
        <v>422</v>
      </c>
      <c r="D260" s="378" t="e" cm="1">
        <f t="array" aca="1" ref="D26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60" s="390" t="s">
        <v>885</v>
      </c>
      <c r="F260" s="178" t="s">
        <v>352</v>
      </c>
      <c r="G260" s="390" t="s">
        <v>891</v>
      </c>
      <c r="H260" s="429" t="s">
        <v>345</v>
      </c>
      <c r="I260" s="437">
        <v>80100000</v>
      </c>
      <c r="J260" s="391" t="s">
        <v>349</v>
      </c>
      <c r="K260" s="389" t="s">
        <v>896</v>
      </c>
      <c r="L260" s="99" t="s">
        <v>858</v>
      </c>
      <c r="M260" s="416"/>
      <c r="N260" s="97">
        <v>2026</v>
      </c>
      <c r="O260" s="495">
        <v>512336</v>
      </c>
    </row>
    <row r="261" spans="2:15" customFormat="1">
      <c r="B261" s="104"/>
      <c r="C261" s="104" t="s">
        <v>422</v>
      </c>
      <c r="D261" s="378" t="e" cm="1">
        <f t="array" aca="1" ref="D26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61" s="393" t="s">
        <v>885</v>
      </c>
      <c r="F261" s="104" t="s">
        <v>352</v>
      </c>
      <c r="G261" s="393" t="s">
        <v>891</v>
      </c>
      <c r="H261" s="428" t="s">
        <v>348</v>
      </c>
      <c r="I261" s="410">
        <v>78906452</v>
      </c>
      <c r="J261" s="105" t="s">
        <v>346</v>
      </c>
      <c r="K261" s="389" t="s">
        <v>896</v>
      </c>
      <c r="L261" s="99" t="s">
        <v>858</v>
      </c>
      <c r="M261" s="97"/>
      <c r="N261" s="97">
        <v>2026</v>
      </c>
      <c r="O261" s="258">
        <v>513944</v>
      </c>
    </row>
    <row r="262" spans="2:15" customFormat="1">
      <c r="B262" s="104"/>
      <c r="C262" s="104" t="s">
        <v>373</v>
      </c>
      <c r="D262" s="378" t="e" cm="1">
        <f t="array" aca="1" ref="D26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62" s="393" t="s">
        <v>898</v>
      </c>
      <c r="F262" s="104" t="s">
        <v>352</v>
      </c>
      <c r="G262" s="393" t="s">
        <v>894</v>
      </c>
      <c r="H262" s="428" t="s">
        <v>342</v>
      </c>
      <c r="I262" s="410">
        <v>4560000</v>
      </c>
      <c r="J262" s="105" t="s">
        <v>349</v>
      </c>
      <c r="K262" s="96" t="s">
        <v>899</v>
      </c>
      <c r="L262" s="99" t="s">
        <v>858</v>
      </c>
      <c r="M262" s="97"/>
      <c r="N262" s="97">
        <v>2026</v>
      </c>
      <c r="O262" s="258">
        <v>511042</v>
      </c>
    </row>
    <row r="263" spans="2:15" customFormat="1">
      <c r="B263" s="104"/>
      <c r="C263" s="104" t="s">
        <v>130</v>
      </c>
      <c r="D263" s="378" t="e" cm="1">
        <f t="array" aca="1" ref="D26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63" s="99" t="s">
        <v>898</v>
      </c>
      <c r="F263" s="104" t="s">
        <v>352</v>
      </c>
      <c r="G263" s="99" t="s">
        <v>891</v>
      </c>
      <c r="H263" s="425" t="s">
        <v>342</v>
      </c>
      <c r="I263" s="395">
        <v>2000000</v>
      </c>
      <c r="J263" s="105" t="s">
        <v>349</v>
      </c>
      <c r="K263" s="96" t="s">
        <v>899</v>
      </c>
      <c r="L263" s="99" t="s">
        <v>858</v>
      </c>
      <c r="M263" s="97"/>
      <c r="N263" s="97">
        <v>2026</v>
      </c>
      <c r="O263">
        <v>511042</v>
      </c>
    </row>
    <row r="264" spans="2:15" customFormat="1">
      <c r="B264" s="104"/>
      <c r="C264" s="104" t="s">
        <v>373</v>
      </c>
      <c r="D264" s="378" t="e" cm="1">
        <f t="array" aca="1" ref="D26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64" s="393" t="s">
        <v>898</v>
      </c>
      <c r="F264" s="104" t="s">
        <v>352</v>
      </c>
      <c r="G264" s="393" t="s">
        <v>891</v>
      </c>
      <c r="H264" s="428" t="s">
        <v>345</v>
      </c>
      <c r="I264" s="410">
        <v>4560000</v>
      </c>
      <c r="J264" s="105" t="s">
        <v>349</v>
      </c>
      <c r="K264" s="96" t="s">
        <v>899</v>
      </c>
      <c r="L264" s="99" t="s">
        <v>858</v>
      </c>
      <c r="M264" s="97"/>
      <c r="N264" s="97">
        <v>2026</v>
      </c>
      <c r="O264" s="258">
        <v>511368</v>
      </c>
    </row>
    <row r="265" spans="2:15" customFormat="1">
      <c r="B265" s="104"/>
      <c r="C265" s="104" t="s">
        <v>130</v>
      </c>
      <c r="D265" s="378" t="e" cm="1">
        <f t="array" aca="1" ref="D26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65" s="99" t="s">
        <v>898</v>
      </c>
      <c r="F265" s="104" t="s">
        <v>352</v>
      </c>
      <c r="G265" s="99" t="s">
        <v>894</v>
      </c>
      <c r="H265" s="425" t="s">
        <v>345</v>
      </c>
      <c r="I265" s="395">
        <v>1891622</v>
      </c>
      <c r="J265" s="105" t="s">
        <v>349</v>
      </c>
      <c r="K265" s="96" t="s">
        <v>899</v>
      </c>
      <c r="L265" s="99" t="s">
        <v>858</v>
      </c>
      <c r="M265" s="97"/>
      <c r="N265" s="97">
        <v>2026</v>
      </c>
      <c r="O265" s="258">
        <v>511368</v>
      </c>
    </row>
    <row r="266" spans="2:15" customFormat="1">
      <c r="B266" s="104"/>
      <c r="C266" s="104" t="s">
        <v>373</v>
      </c>
      <c r="D266" s="378" t="e" cm="1">
        <f t="array" aca="1" ref="D26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66" s="393" t="s">
        <v>898</v>
      </c>
      <c r="F266" s="104" t="s">
        <v>352</v>
      </c>
      <c r="G266" s="99" t="s">
        <v>894</v>
      </c>
      <c r="H266" s="425" t="s">
        <v>348</v>
      </c>
      <c r="I266" s="395">
        <v>4560000</v>
      </c>
      <c r="J266" s="105" t="s">
        <v>346</v>
      </c>
      <c r="K266" s="96" t="s">
        <v>899</v>
      </c>
      <c r="L266" s="99" t="s">
        <v>858</v>
      </c>
      <c r="M266" s="97"/>
      <c r="N266" s="97">
        <v>2026</v>
      </c>
      <c r="O266" s="258">
        <v>512223</v>
      </c>
    </row>
    <row r="267" spans="2:15" customFormat="1">
      <c r="B267" s="104"/>
      <c r="C267" s="104" t="s">
        <v>130</v>
      </c>
      <c r="D267" s="378" t="e" cm="1">
        <f t="array" aca="1" ref="D26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67" s="99" t="s">
        <v>898</v>
      </c>
      <c r="F267" s="104" t="s">
        <v>352</v>
      </c>
      <c r="G267" s="99" t="s">
        <v>891</v>
      </c>
      <c r="H267" s="425" t="s">
        <v>348</v>
      </c>
      <c r="I267" s="395">
        <v>2000000</v>
      </c>
      <c r="J267" s="105" t="s">
        <v>346</v>
      </c>
      <c r="K267" s="96" t="s">
        <v>899</v>
      </c>
      <c r="L267" s="99" t="s">
        <v>858</v>
      </c>
      <c r="M267" s="97"/>
      <c r="N267" s="97">
        <v>2026</v>
      </c>
      <c r="O267" s="258">
        <v>512223</v>
      </c>
    </row>
    <row r="268" spans="2:15" customFormat="1">
      <c r="B268" s="104"/>
      <c r="C268" s="104" t="s">
        <v>373</v>
      </c>
      <c r="D268" s="378" t="e" cm="1">
        <f t="array" aca="1" ref="D26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68" s="99" t="s">
        <v>900</v>
      </c>
      <c r="F268" s="104" t="s">
        <v>352</v>
      </c>
      <c r="G268" s="99" t="s">
        <v>891</v>
      </c>
      <c r="H268" s="425" t="s">
        <v>342</v>
      </c>
      <c r="I268" s="395">
        <v>72106480</v>
      </c>
      <c r="J268" s="105" t="s">
        <v>349</v>
      </c>
      <c r="K268" s="96" t="s">
        <v>901</v>
      </c>
      <c r="L268" s="99" t="s">
        <v>858</v>
      </c>
      <c r="M268" s="97"/>
      <c r="N268" s="97">
        <v>2026</v>
      </c>
      <c r="O268">
        <v>511658</v>
      </c>
    </row>
    <row r="269" spans="2:15" customFormat="1">
      <c r="B269" s="104"/>
      <c r="C269" s="104" t="s">
        <v>373</v>
      </c>
      <c r="D269" s="378" t="e" cm="1">
        <f t="array" aca="1" ref="D26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69" s="99" t="s">
        <v>900</v>
      </c>
      <c r="F269" s="104" t="s">
        <v>352</v>
      </c>
      <c r="G269" s="99" t="s">
        <v>891</v>
      </c>
      <c r="H269" s="425" t="s">
        <v>345</v>
      </c>
      <c r="I269" s="395">
        <v>72233400</v>
      </c>
      <c r="J269" s="105" t="s">
        <v>349</v>
      </c>
      <c r="K269" s="96" t="s">
        <v>901</v>
      </c>
      <c r="L269" s="99" t="s">
        <v>858</v>
      </c>
      <c r="M269" s="97"/>
      <c r="N269" s="97">
        <v>2026</v>
      </c>
      <c r="O269" s="258">
        <v>511662</v>
      </c>
    </row>
    <row r="270" spans="2:15" customFormat="1">
      <c r="B270" s="104"/>
      <c r="C270" s="104" t="s">
        <v>414</v>
      </c>
      <c r="D270" s="378" t="e" cm="1">
        <f t="array" aca="1" ref="D27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70" s="99" t="s">
        <v>902</v>
      </c>
      <c r="F270" s="104" t="s">
        <v>352</v>
      </c>
      <c r="G270" s="99" t="s">
        <v>891</v>
      </c>
      <c r="H270" s="425" t="s">
        <v>342</v>
      </c>
      <c r="I270" s="395">
        <v>82812200</v>
      </c>
      <c r="J270" s="105" t="s">
        <v>349</v>
      </c>
      <c r="K270" s="96" t="s">
        <v>903</v>
      </c>
      <c r="L270" s="99" t="s">
        <v>858</v>
      </c>
      <c r="M270" s="97"/>
      <c r="N270" s="97">
        <v>2026</v>
      </c>
      <c r="O270" s="258">
        <v>510353</v>
      </c>
    </row>
    <row r="271" spans="2:15" customFormat="1">
      <c r="B271" s="104"/>
      <c r="C271" s="383" t="s">
        <v>414</v>
      </c>
      <c r="D271" s="378" t="e" cm="1">
        <f t="array" aca="1" ref="D27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71" s="99" t="s">
        <v>902</v>
      </c>
      <c r="F271" s="104" t="s">
        <v>352</v>
      </c>
      <c r="G271" s="99" t="s">
        <v>891</v>
      </c>
      <c r="H271" s="426" t="s">
        <v>345</v>
      </c>
      <c r="I271" s="435">
        <v>82812200</v>
      </c>
      <c r="J271" s="153" t="s">
        <v>349</v>
      </c>
      <c r="K271" s="384" t="s">
        <v>903</v>
      </c>
      <c r="L271" s="99" t="s">
        <v>858</v>
      </c>
      <c r="M271" s="97"/>
      <c r="N271" s="97">
        <v>2026</v>
      </c>
      <c r="O271" s="258">
        <v>512185</v>
      </c>
    </row>
    <row r="272" spans="2:15" customFormat="1">
      <c r="B272" s="104"/>
      <c r="C272" s="96" t="s">
        <v>414</v>
      </c>
      <c r="D272" s="378" t="e" cm="1">
        <f t="array" aca="1" ref="D27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72" s="99" t="s">
        <v>902</v>
      </c>
      <c r="F272" s="104" t="s">
        <v>352</v>
      </c>
      <c r="G272" s="99" t="s">
        <v>894</v>
      </c>
      <c r="H272" s="426" t="s">
        <v>348</v>
      </c>
      <c r="I272" s="435">
        <v>82812200</v>
      </c>
      <c r="J272" s="153" t="s">
        <v>349</v>
      </c>
      <c r="K272" s="384" t="s">
        <v>903</v>
      </c>
      <c r="L272" s="99" t="s">
        <v>858</v>
      </c>
      <c r="M272" s="97"/>
      <c r="N272" s="97">
        <v>2026</v>
      </c>
      <c r="O272" s="258">
        <v>513177</v>
      </c>
    </row>
    <row r="273" spans="2:15" customFormat="1">
      <c r="B273" s="104"/>
      <c r="C273" s="96" t="s">
        <v>130</v>
      </c>
      <c r="D273" s="378" t="e" cm="1">
        <f t="array" aca="1" ref="D27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73" s="99" t="s">
        <v>904</v>
      </c>
      <c r="F273" s="104" t="s">
        <v>352</v>
      </c>
      <c r="G273" s="99" t="s">
        <v>891</v>
      </c>
      <c r="H273" s="427" t="s">
        <v>342</v>
      </c>
      <c r="I273" s="435">
        <v>2300000</v>
      </c>
      <c r="J273" s="303" t="s">
        <v>349</v>
      </c>
      <c r="K273" s="385" t="s">
        <v>905</v>
      </c>
      <c r="L273" s="99" t="s">
        <v>858</v>
      </c>
      <c r="M273" s="97"/>
      <c r="N273" s="97">
        <v>2026</v>
      </c>
      <c r="O273" s="258">
        <v>509589</v>
      </c>
    </row>
    <row r="274" spans="2:15" customFormat="1">
      <c r="B274" s="104"/>
      <c r="C274" s="96" t="s">
        <v>130</v>
      </c>
      <c r="D274" s="378" t="e" cm="1">
        <f t="array" aca="1" ref="D27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74" s="99" t="s">
        <v>904</v>
      </c>
      <c r="F274" s="104" t="s">
        <v>352</v>
      </c>
      <c r="G274" s="99" t="s">
        <v>891</v>
      </c>
      <c r="H274" s="427" t="s">
        <v>345</v>
      </c>
      <c r="I274" s="435">
        <v>2300000</v>
      </c>
      <c r="J274" s="303" t="s">
        <v>349</v>
      </c>
      <c r="K274" s="385" t="s">
        <v>905</v>
      </c>
      <c r="L274" s="99" t="s">
        <v>858</v>
      </c>
      <c r="M274" s="97"/>
      <c r="N274" s="97">
        <v>2026</v>
      </c>
      <c r="O274" s="258">
        <v>511653</v>
      </c>
    </row>
    <row r="275" spans="2:15" customFormat="1">
      <c r="B275" s="104"/>
      <c r="C275" s="96" t="s">
        <v>130</v>
      </c>
      <c r="D275" s="378" t="e" cm="1">
        <f t="array" aca="1" ref="D27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75" s="99" t="s">
        <v>904</v>
      </c>
      <c r="F275" s="104" t="s">
        <v>352</v>
      </c>
      <c r="G275" s="99" t="s">
        <v>891</v>
      </c>
      <c r="H275" s="427" t="s">
        <v>348</v>
      </c>
      <c r="I275" s="435">
        <v>2300000</v>
      </c>
      <c r="J275" s="303" t="s">
        <v>346</v>
      </c>
      <c r="K275" s="385" t="s">
        <v>905</v>
      </c>
      <c r="L275" s="99" t="s">
        <v>858</v>
      </c>
      <c r="M275" s="97"/>
      <c r="N275" s="97">
        <v>2026</v>
      </c>
      <c r="O275" s="258">
        <v>512351</v>
      </c>
    </row>
    <row r="276" spans="2:15" customFormat="1">
      <c r="B276" s="104"/>
      <c r="C276" s="96" t="s">
        <v>606</v>
      </c>
      <c r="D276" s="378" t="e" cm="1">
        <f t="array" aca="1" ref="D27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76" s="99" t="s">
        <v>906</v>
      </c>
      <c r="F276" s="104" t="s">
        <v>352</v>
      </c>
      <c r="G276" s="99" t="s">
        <v>891</v>
      </c>
      <c r="H276" s="426" t="s">
        <v>342</v>
      </c>
      <c r="I276" s="435">
        <v>52032552</v>
      </c>
      <c r="J276" s="153" t="s">
        <v>346</v>
      </c>
      <c r="K276" s="384" t="s">
        <v>33</v>
      </c>
      <c r="L276" s="99" t="s">
        <v>858</v>
      </c>
      <c r="M276" s="97"/>
      <c r="N276" s="97">
        <v>2026</v>
      </c>
      <c r="O276" s="258"/>
    </row>
    <row r="277" spans="2:15" customFormat="1">
      <c r="B277" s="104"/>
      <c r="C277" s="96" t="s">
        <v>606</v>
      </c>
      <c r="D277" s="378" t="e" cm="1">
        <f t="array" aca="1" ref="D27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77" s="99" t="s">
        <v>906</v>
      </c>
      <c r="F277" s="104" t="s">
        <v>352</v>
      </c>
      <c r="G277" s="99" t="s">
        <v>891</v>
      </c>
      <c r="H277" s="426" t="s">
        <v>345</v>
      </c>
      <c r="I277" s="435">
        <v>52032552</v>
      </c>
      <c r="J277" s="153" t="s">
        <v>346</v>
      </c>
      <c r="K277" s="384" t="s">
        <v>33</v>
      </c>
      <c r="L277" s="99" t="s">
        <v>858</v>
      </c>
      <c r="M277" s="97"/>
      <c r="N277" s="97">
        <v>2026</v>
      </c>
      <c r="O277" s="258"/>
    </row>
    <row r="278" spans="2:15" customFormat="1">
      <c r="B278" s="104"/>
      <c r="C278" s="96" t="s">
        <v>539</v>
      </c>
      <c r="D278" s="378" t="e" cm="1">
        <f t="array" aca="1" ref="D27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78" s="99" t="s">
        <v>907</v>
      </c>
      <c r="F278" s="104" t="s">
        <v>352</v>
      </c>
      <c r="G278" s="99" t="s">
        <v>891</v>
      </c>
      <c r="H278" s="426" t="s">
        <v>342</v>
      </c>
      <c r="I278" s="435">
        <v>3850000</v>
      </c>
      <c r="J278" s="153" t="s">
        <v>349</v>
      </c>
      <c r="K278" s="384" t="s">
        <v>33</v>
      </c>
      <c r="L278" s="99" t="s">
        <v>858</v>
      </c>
      <c r="M278" s="97"/>
      <c r="N278" s="97">
        <v>2026</v>
      </c>
      <c r="O278" s="258"/>
    </row>
    <row r="279" spans="2:15" customFormat="1">
      <c r="B279" s="104"/>
      <c r="C279" s="96" t="s">
        <v>539</v>
      </c>
      <c r="D279" s="378" t="e" cm="1">
        <f t="array" aca="1" ref="D27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79" s="99" t="s">
        <v>907</v>
      </c>
      <c r="F279" s="104" t="s">
        <v>352</v>
      </c>
      <c r="G279" s="99" t="s">
        <v>891</v>
      </c>
      <c r="H279" s="426" t="s">
        <v>345</v>
      </c>
      <c r="I279" s="435">
        <v>3850000</v>
      </c>
      <c r="J279" s="153" t="s">
        <v>349</v>
      </c>
      <c r="K279" s="384" t="s">
        <v>33</v>
      </c>
      <c r="L279" s="99" t="s">
        <v>858</v>
      </c>
      <c r="M279" s="97"/>
      <c r="N279" s="97">
        <v>2026</v>
      </c>
      <c r="O279" s="258"/>
    </row>
    <row r="280" spans="2:15" customFormat="1">
      <c r="B280" s="104"/>
      <c r="C280" s="96" t="s">
        <v>539</v>
      </c>
      <c r="D280" s="378" t="e" cm="1">
        <f t="array" aca="1" ref="D28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80" s="99" t="s">
        <v>907</v>
      </c>
      <c r="F280" s="104" t="s">
        <v>352</v>
      </c>
      <c r="G280" s="99" t="s">
        <v>891</v>
      </c>
      <c r="H280" s="426" t="s">
        <v>348</v>
      </c>
      <c r="I280" s="435">
        <v>3850000</v>
      </c>
      <c r="J280" s="153" t="s">
        <v>349</v>
      </c>
      <c r="K280" s="384" t="s">
        <v>33</v>
      </c>
      <c r="L280" s="99" t="s">
        <v>858</v>
      </c>
      <c r="M280" s="97"/>
      <c r="N280" s="97">
        <v>2026</v>
      </c>
      <c r="O280" s="258"/>
    </row>
    <row r="281" spans="2:15" customFormat="1">
      <c r="B281" s="104"/>
      <c r="C281" s="96" t="s">
        <v>539</v>
      </c>
      <c r="D281" s="378" t="e" cm="1">
        <f t="array" aca="1" ref="D28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81" s="99" t="s">
        <v>907</v>
      </c>
      <c r="F281" s="104" t="s">
        <v>352</v>
      </c>
      <c r="G281" s="99" t="s">
        <v>891</v>
      </c>
      <c r="H281" s="426" t="s">
        <v>351</v>
      </c>
      <c r="I281" s="435">
        <v>3850000</v>
      </c>
      <c r="J281" s="153" t="s">
        <v>349</v>
      </c>
      <c r="K281" s="384" t="s">
        <v>33</v>
      </c>
      <c r="L281" s="99" t="s">
        <v>858</v>
      </c>
      <c r="M281" s="97"/>
      <c r="N281" s="97">
        <v>2026</v>
      </c>
      <c r="O281" s="258"/>
    </row>
    <row r="282" spans="2:15" customFormat="1">
      <c r="B282" s="104"/>
      <c r="C282" s="96" t="s">
        <v>411</v>
      </c>
      <c r="D282" s="378" t="e" cm="1">
        <f t="array" aca="1" ref="D28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82" s="99" t="s">
        <v>908</v>
      </c>
      <c r="F282" s="104" t="s">
        <v>352</v>
      </c>
      <c r="G282" s="99" t="s">
        <v>891</v>
      </c>
      <c r="H282" s="426" t="s">
        <v>342</v>
      </c>
      <c r="I282" s="435">
        <v>73750000</v>
      </c>
      <c r="J282" s="153" t="s">
        <v>349</v>
      </c>
      <c r="K282" s="384" t="s">
        <v>33</v>
      </c>
      <c r="L282" s="99" t="s">
        <v>858</v>
      </c>
      <c r="M282" s="97"/>
      <c r="N282" s="97">
        <v>2026</v>
      </c>
      <c r="O282" s="258"/>
    </row>
    <row r="283" spans="2:15" customFormat="1">
      <c r="B283" s="104"/>
      <c r="C283" s="96" t="s">
        <v>411</v>
      </c>
      <c r="D283" s="378" t="e" cm="1">
        <f t="array" aca="1" ref="D28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83" s="99" t="s">
        <v>908</v>
      </c>
      <c r="F283" s="104" t="s">
        <v>352</v>
      </c>
      <c r="G283" s="99" t="s">
        <v>891</v>
      </c>
      <c r="H283" s="426" t="s">
        <v>345</v>
      </c>
      <c r="I283" s="435">
        <v>73750000</v>
      </c>
      <c r="J283" s="153" t="s">
        <v>349</v>
      </c>
      <c r="K283" s="384" t="s">
        <v>33</v>
      </c>
      <c r="L283" s="99" t="s">
        <v>858</v>
      </c>
      <c r="M283" s="97"/>
      <c r="N283" s="97">
        <v>2026</v>
      </c>
      <c r="O283" s="258"/>
    </row>
    <row r="284" spans="2:15" customFormat="1">
      <c r="B284" s="104"/>
      <c r="C284" s="96" t="s">
        <v>411</v>
      </c>
      <c r="D284" s="378" t="e" cm="1">
        <f t="array" aca="1" ref="D28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84" s="99" t="s">
        <v>908</v>
      </c>
      <c r="F284" s="104" t="s">
        <v>352</v>
      </c>
      <c r="G284" s="99" t="s">
        <v>894</v>
      </c>
      <c r="H284" s="426" t="s">
        <v>348</v>
      </c>
      <c r="I284" s="435">
        <v>73750000</v>
      </c>
      <c r="J284" s="153" t="s">
        <v>349</v>
      </c>
      <c r="K284" s="384" t="s">
        <v>33</v>
      </c>
      <c r="L284" s="99" t="s">
        <v>858</v>
      </c>
      <c r="M284" s="97"/>
      <c r="N284" s="97">
        <v>2026</v>
      </c>
      <c r="O284" s="258"/>
    </row>
    <row r="285" spans="2:15" customFormat="1">
      <c r="B285" s="104"/>
      <c r="C285" s="96" t="s">
        <v>411</v>
      </c>
      <c r="D285" s="378" t="e" cm="1">
        <f t="array" aca="1" ref="D28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85" s="99" t="s">
        <v>908</v>
      </c>
      <c r="F285" s="104" t="s">
        <v>352</v>
      </c>
      <c r="G285" s="99" t="s">
        <v>891</v>
      </c>
      <c r="H285" s="426" t="s">
        <v>351</v>
      </c>
      <c r="I285" s="435">
        <v>73750000</v>
      </c>
      <c r="J285" s="153" t="s">
        <v>349</v>
      </c>
      <c r="K285" s="384" t="s">
        <v>33</v>
      </c>
      <c r="L285" s="99" t="s">
        <v>858</v>
      </c>
      <c r="M285" s="97"/>
      <c r="N285" s="97">
        <v>2026</v>
      </c>
      <c r="O285" s="258"/>
    </row>
    <row r="286" spans="2:15" customFormat="1">
      <c r="B286" s="104"/>
      <c r="C286" s="96" t="s">
        <v>415</v>
      </c>
      <c r="D286" s="378" t="e" cm="1">
        <f t="array" aca="1" ref="D28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86" s="99" t="s">
        <v>909</v>
      </c>
      <c r="F286" s="104" t="s">
        <v>352</v>
      </c>
      <c r="G286" s="99" t="s">
        <v>891</v>
      </c>
      <c r="H286" s="426" t="s">
        <v>342</v>
      </c>
      <c r="I286" s="435">
        <v>15000000</v>
      </c>
      <c r="J286" s="153" t="s">
        <v>349</v>
      </c>
      <c r="K286" s="384" t="s">
        <v>33</v>
      </c>
      <c r="L286" s="99" t="s">
        <v>858</v>
      </c>
      <c r="M286" s="97"/>
      <c r="N286" s="97">
        <v>2026</v>
      </c>
      <c r="O286" s="258"/>
    </row>
    <row r="287" spans="2:15" customFormat="1">
      <c r="B287" s="104"/>
      <c r="C287" s="96" t="s">
        <v>415</v>
      </c>
      <c r="D287" s="378" t="e" cm="1">
        <f t="array" aca="1" ref="D28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87" s="99" t="s">
        <v>909</v>
      </c>
      <c r="F287" s="104" t="s">
        <v>352</v>
      </c>
      <c r="G287" s="99" t="s">
        <v>894</v>
      </c>
      <c r="H287" s="426" t="s">
        <v>345</v>
      </c>
      <c r="I287" s="435">
        <v>15000000</v>
      </c>
      <c r="J287" s="153" t="s">
        <v>349</v>
      </c>
      <c r="K287" s="384" t="s">
        <v>33</v>
      </c>
      <c r="L287" s="99" t="s">
        <v>858</v>
      </c>
      <c r="M287" s="97"/>
      <c r="N287" s="97">
        <v>2026</v>
      </c>
      <c r="O287" s="258"/>
    </row>
    <row r="288" spans="2:15" customFormat="1">
      <c r="B288" s="104"/>
      <c r="C288" s="96" t="s">
        <v>415</v>
      </c>
      <c r="D288" s="378" t="e" cm="1">
        <f t="array" aca="1" ref="D28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88" s="99" t="s">
        <v>909</v>
      </c>
      <c r="F288" s="104" t="s">
        <v>352</v>
      </c>
      <c r="G288" s="99" t="s">
        <v>894</v>
      </c>
      <c r="H288" s="426" t="s">
        <v>348</v>
      </c>
      <c r="I288" s="435">
        <v>15000000</v>
      </c>
      <c r="J288" s="153" t="s">
        <v>349</v>
      </c>
      <c r="K288" s="384" t="s">
        <v>33</v>
      </c>
      <c r="L288" s="99" t="s">
        <v>858</v>
      </c>
      <c r="M288" s="97"/>
      <c r="N288" s="97">
        <v>2026</v>
      </c>
      <c r="O288" s="258"/>
    </row>
    <row r="289" spans="2:15">
      <c r="B289" s="104"/>
      <c r="C289" s="394" t="s">
        <v>415</v>
      </c>
      <c r="D289" s="378" t="e" cm="1">
        <f t="array" aca="1" ref="D28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89" s="99" t="s">
        <v>909</v>
      </c>
      <c r="F289" s="104" t="s">
        <v>352</v>
      </c>
      <c r="G289" s="244" t="s">
        <v>894</v>
      </c>
      <c r="H289" s="426" t="s">
        <v>351</v>
      </c>
      <c r="I289" s="435">
        <v>15000000</v>
      </c>
      <c r="J289" s="153" t="s">
        <v>349</v>
      </c>
      <c r="K289" s="394" t="s">
        <v>33</v>
      </c>
      <c r="L289" s="99" t="s">
        <v>858</v>
      </c>
      <c r="M289" s="244"/>
      <c r="N289" s="97">
        <v>2026</v>
      </c>
      <c r="O289" s="496"/>
    </row>
    <row r="290" spans="2:15" customFormat="1">
      <c r="B290" s="104"/>
      <c r="C290" s="96" t="s">
        <v>614</v>
      </c>
      <c r="D290" s="378" t="e" cm="1">
        <f t="array" aca="1" ref="D29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90" s="99" t="s">
        <v>910</v>
      </c>
      <c r="F290" s="104" t="s">
        <v>352</v>
      </c>
      <c r="G290" s="99" t="s">
        <v>894</v>
      </c>
      <c r="H290" s="426" t="s">
        <v>342</v>
      </c>
      <c r="I290" s="435">
        <v>4049661</v>
      </c>
      <c r="J290" s="153" t="s">
        <v>349</v>
      </c>
      <c r="K290" s="384" t="s">
        <v>911</v>
      </c>
      <c r="L290" s="99" t="s">
        <v>858</v>
      </c>
      <c r="M290" s="97"/>
      <c r="N290" s="97">
        <v>2026</v>
      </c>
      <c r="O290" s="258"/>
    </row>
    <row r="291" spans="2:15" customFormat="1">
      <c r="B291" s="104"/>
      <c r="C291" s="96" t="s">
        <v>614</v>
      </c>
      <c r="D291" s="378" t="e" cm="1">
        <f t="array" aca="1" ref="D29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91" s="99" t="s">
        <v>910</v>
      </c>
      <c r="F291" s="104" t="s">
        <v>352</v>
      </c>
      <c r="G291" s="99" t="s">
        <v>894</v>
      </c>
      <c r="H291" s="426" t="s">
        <v>345</v>
      </c>
      <c r="I291" s="435">
        <v>2136129</v>
      </c>
      <c r="J291" s="153" t="s">
        <v>349</v>
      </c>
      <c r="K291" s="384" t="s">
        <v>911</v>
      </c>
      <c r="L291" s="99" t="s">
        <v>858</v>
      </c>
      <c r="M291" s="97"/>
      <c r="N291" s="97">
        <v>2026</v>
      </c>
      <c r="O291" s="258"/>
    </row>
    <row r="292" spans="2:15" customFormat="1">
      <c r="B292" s="104"/>
      <c r="C292" s="96" t="s">
        <v>614</v>
      </c>
      <c r="D292" s="378" t="e" cm="1">
        <f t="array" aca="1" ref="D29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92" s="99" t="s">
        <v>910</v>
      </c>
      <c r="F292" s="104" t="s">
        <v>352</v>
      </c>
      <c r="G292" s="99" t="s">
        <v>894</v>
      </c>
      <c r="H292" s="426" t="s">
        <v>348</v>
      </c>
      <c r="I292" s="435">
        <v>2149969</v>
      </c>
      <c r="J292" s="153" t="s">
        <v>349</v>
      </c>
      <c r="K292" s="384" t="s">
        <v>911</v>
      </c>
      <c r="L292" s="99" t="s">
        <v>858</v>
      </c>
      <c r="M292" s="97"/>
      <c r="N292" s="97">
        <v>2026</v>
      </c>
      <c r="O292" s="258"/>
    </row>
    <row r="293" spans="2:15" customFormat="1">
      <c r="B293" s="104"/>
      <c r="C293" s="96" t="s">
        <v>539</v>
      </c>
      <c r="D293" s="378" t="e" cm="1">
        <f t="array" aca="1" ref="D29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93" s="99" t="s">
        <v>910</v>
      </c>
      <c r="F293" s="104" t="s">
        <v>352</v>
      </c>
      <c r="G293" s="99" t="s">
        <v>894</v>
      </c>
      <c r="H293" s="426" t="s">
        <v>342</v>
      </c>
      <c r="I293" s="435">
        <v>1417000</v>
      </c>
      <c r="J293" s="153" t="s">
        <v>349</v>
      </c>
      <c r="K293" s="384" t="s">
        <v>911</v>
      </c>
      <c r="L293" s="99" t="s">
        <v>858</v>
      </c>
      <c r="M293" s="97"/>
      <c r="N293" s="97">
        <v>2026</v>
      </c>
      <c r="O293" s="258"/>
    </row>
    <row r="294" spans="2:15" customFormat="1">
      <c r="B294" s="104"/>
      <c r="C294" s="96" t="s">
        <v>539</v>
      </c>
      <c r="D294" s="378" t="e" cm="1">
        <f t="array" aca="1" ref="D29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94" s="99" t="s">
        <v>910</v>
      </c>
      <c r="F294" s="104" t="s">
        <v>352</v>
      </c>
      <c r="G294" s="99" t="s">
        <v>894</v>
      </c>
      <c r="H294" s="426" t="s">
        <v>345</v>
      </c>
      <c r="I294" s="435">
        <v>705268</v>
      </c>
      <c r="J294" s="153" t="s">
        <v>349</v>
      </c>
      <c r="K294" s="384" t="s">
        <v>911</v>
      </c>
      <c r="L294" s="99" t="s">
        <v>858</v>
      </c>
      <c r="M294" s="97"/>
      <c r="N294" s="97">
        <v>2026</v>
      </c>
      <c r="O294" s="258"/>
    </row>
    <row r="295" spans="2:15" customFormat="1">
      <c r="B295" s="104"/>
      <c r="C295" s="96" t="s">
        <v>539</v>
      </c>
      <c r="D295" s="378" t="e" cm="1">
        <f t="array" aca="1" ref="D29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95" s="99" t="s">
        <v>910</v>
      </c>
      <c r="F295" s="104" t="s">
        <v>352</v>
      </c>
      <c r="G295" s="99" t="s">
        <v>894</v>
      </c>
      <c r="H295" s="426" t="s">
        <v>348</v>
      </c>
      <c r="I295" s="435">
        <v>706250</v>
      </c>
      <c r="J295" s="153" t="s">
        <v>349</v>
      </c>
      <c r="K295" s="384" t="s">
        <v>911</v>
      </c>
      <c r="L295" s="99" t="s">
        <v>858</v>
      </c>
      <c r="M295" s="97"/>
      <c r="N295" s="97">
        <v>2026</v>
      </c>
      <c r="O295" s="258"/>
    </row>
    <row r="296" spans="2:15" customFormat="1">
      <c r="B296" s="104"/>
      <c r="C296" s="96" t="s">
        <v>539</v>
      </c>
      <c r="D296" s="378" t="e" cm="1">
        <f t="array" aca="1" ref="D29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96" s="99" t="s">
        <v>910</v>
      </c>
      <c r="F296" s="104" t="s">
        <v>352</v>
      </c>
      <c r="G296" s="99" t="s">
        <v>891</v>
      </c>
      <c r="H296" s="426" t="s">
        <v>351</v>
      </c>
      <c r="I296" s="435">
        <v>707310</v>
      </c>
      <c r="J296" s="153" t="s">
        <v>349</v>
      </c>
      <c r="K296" s="384" t="s">
        <v>911</v>
      </c>
      <c r="L296" s="99" t="s">
        <v>858</v>
      </c>
      <c r="M296" s="97"/>
      <c r="N296" s="97">
        <v>2026</v>
      </c>
      <c r="O296" s="258"/>
    </row>
    <row r="297" spans="2:15" customFormat="1">
      <c r="B297" s="104"/>
      <c r="C297" s="96" t="s">
        <v>373</v>
      </c>
      <c r="D297" s="378" t="e" cm="1">
        <f t="array" aca="1" ref="D29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97" s="99" t="s">
        <v>885</v>
      </c>
      <c r="F297" s="104" t="s">
        <v>352</v>
      </c>
      <c r="G297" s="99" t="s">
        <v>894</v>
      </c>
      <c r="H297" s="426" t="s">
        <v>342</v>
      </c>
      <c r="I297" s="435">
        <v>294264493</v>
      </c>
      <c r="J297" s="153" t="s">
        <v>349</v>
      </c>
      <c r="K297" s="384" t="s">
        <v>911</v>
      </c>
      <c r="L297" s="99" t="s">
        <v>858</v>
      </c>
      <c r="M297" s="97"/>
      <c r="N297" s="97">
        <v>2026</v>
      </c>
      <c r="O297" s="258"/>
    </row>
    <row r="298" spans="2:15" customFormat="1">
      <c r="B298" s="104"/>
      <c r="C298" s="96" t="s">
        <v>130</v>
      </c>
      <c r="D298" s="378" t="e" cm="1">
        <f t="array" aca="1" ref="D29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98" s="99" t="s">
        <v>912</v>
      </c>
      <c r="F298" s="104" t="s">
        <v>352</v>
      </c>
      <c r="G298" s="99" t="s">
        <v>894</v>
      </c>
      <c r="H298" s="427" t="s">
        <v>348</v>
      </c>
      <c r="I298" s="435">
        <v>2904417</v>
      </c>
      <c r="J298" s="303" t="s">
        <v>346</v>
      </c>
      <c r="K298" s="385" t="s">
        <v>913</v>
      </c>
      <c r="L298" s="451" t="s">
        <v>914</v>
      </c>
      <c r="M298" s="97"/>
      <c r="N298" s="97">
        <v>2026</v>
      </c>
      <c r="O298" s="258"/>
    </row>
    <row r="299" spans="2:15" customFormat="1">
      <c r="B299" s="104"/>
      <c r="C299" s="96" t="s">
        <v>415</v>
      </c>
      <c r="D299" s="378" t="e" cm="1">
        <f t="array" aca="1" ref="D29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299" s="99" t="s">
        <v>912</v>
      </c>
      <c r="F299" s="104" t="s">
        <v>352</v>
      </c>
      <c r="G299" s="99" t="s">
        <v>891</v>
      </c>
      <c r="H299" s="426" t="s">
        <v>345</v>
      </c>
      <c r="I299" s="435">
        <v>25557840</v>
      </c>
      <c r="J299" s="153" t="s">
        <v>349</v>
      </c>
      <c r="K299" s="384" t="s">
        <v>913</v>
      </c>
      <c r="L299" s="451" t="s">
        <v>914</v>
      </c>
      <c r="M299" s="97"/>
      <c r="N299" s="97">
        <v>2026</v>
      </c>
      <c r="O299" s="258"/>
    </row>
    <row r="300" spans="2:15" customFormat="1">
      <c r="B300" s="104"/>
      <c r="C300" s="96" t="s">
        <v>415</v>
      </c>
      <c r="D300" s="378" t="e" cm="1">
        <f t="array" aca="1" ref="D30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00" s="99" t="s">
        <v>912</v>
      </c>
      <c r="F300" s="104" t="s">
        <v>352</v>
      </c>
      <c r="G300" s="99" t="s">
        <v>891</v>
      </c>
      <c r="H300" s="426" t="s">
        <v>345</v>
      </c>
      <c r="I300" s="435">
        <v>25557840</v>
      </c>
      <c r="J300" s="153" t="s">
        <v>349</v>
      </c>
      <c r="K300" s="384" t="s">
        <v>913</v>
      </c>
      <c r="L300" s="451" t="s">
        <v>914</v>
      </c>
      <c r="M300" s="97"/>
      <c r="N300" s="97">
        <v>2026</v>
      </c>
      <c r="O300" s="258"/>
    </row>
    <row r="301" spans="2:15" customFormat="1">
      <c r="B301" s="104"/>
      <c r="C301" s="96" t="s">
        <v>415</v>
      </c>
      <c r="D301" s="378" t="e" cm="1">
        <f t="array" aca="1" ref="D30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01" s="99" t="s">
        <v>912</v>
      </c>
      <c r="F301" s="104" t="s">
        <v>352</v>
      </c>
      <c r="G301" s="99" t="s">
        <v>891</v>
      </c>
      <c r="H301" s="426" t="s">
        <v>345</v>
      </c>
      <c r="I301" s="435">
        <v>14312760</v>
      </c>
      <c r="J301" s="153" t="s">
        <v>349</v>
      </c>
      <c r="K301" s="384" t="s">
        <v>913</v>
      </c>
      <c r="L301" s="451" t="s">
        <v>914</v>
      </c>
      <c r="M301" s="97"/>
      <c r="N301" s="97">
        <v>2026</v>
      </c>
      <c r="O301" s="258"/>
    </row>
    <row r="302" spans="2:15" customFormat="1">
      <c r="B302" s="104"/>
      <c r="C302" s="96" t="s">
        <v>415</v>
      </c>
      <c r="D302" s="378" t="e" cm="1">
        <f t="array" aca="1" ref="D30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02" s="99" t="s">
        <v>912</v>
      </c>
      <c r="F302" s="104" t="s">
        <v>352</v>
      </c>
      <c r="G302" s="99" t="s">
        <v>891</v>
      </c>
      <c r="H302" s="426" t="s">
        <v>345</v>
      </c>
      <c r="I302" s="435">
        <v>3578190</v>
      </c>
      <c r="J302" s="153" t="s">
        <v>349</v>
      </c>
      <c r="K302" s="384" t="s">
        <v>913</v>
      </c>
      <c r="L302" s="451" t="s">
        <v>914</v>
      </c>
      <c r="M302" s="97"/>
      <c r="N302" s="97">
        <v>2026</v>
      </c>
      <c r="O302" s="258"/>
    </row>
    <row r="303" spans="2:15" customFormat="1">
      <c r="B303" s="104"/>
      <c r="C303" s="96" t="s">
        <v>415</v>
      </c>
      <c r="D303" s="378" t="e" cm="1">
        <f t="array" aca="1" ref="D30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03" s="99" t="s">
        <v>912</v>
      </c>
      <c r="F303" s="104" t="s">
        <v>352</v>
      </c>
      <c r="G303" s="99" t="s">
        <v>891</v>
      </c>
      <c r="H303" s="426" t="s">
        <v>345</v>
      </c>
      <c r="I303" s="435">
        <v>14312760</v>
      </c>
      <c r="J303" s="153" t="s">
        <v>349</v>
      </c>
      <c r="K303" s="384" t="s">
        <v>913</v>
      </c>
      <c r="L303" s="451" t="s">
        <v>914</v>
      </c>
      <c r="M303" s="97"/>
      <c r="N303" s="97">
        <v>2026</v>
      </c>
      <c r="O303" s="258"/>
    </row>
    <row r="304" spans="2:15" customFormat="1">
      <c r="B304" s="104"/>
      <c r="C304" s="96" t="s">
        <v>415</v>
      </c>
      <c r="D304" s="378" t="e" cm="1">
        <f t="array" aca="1" ref="D30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04" s="99" t="s">
        <v>912</v>
      </c>
      <c r="F304" s="104" t="s">
        <v>352</v>
      </c>
      <c r="G304" s="99" t="s">
        <v>891</v>
      </c>
      <c r="H304" s="426" t="s">
        <v>345</v>
      </c>
      <c r="I304" s="435">
        <v>14312760</v>
      </c>
      <c r="J304" s="153" t="s">
        <v>349</v>
      </c>
      <c r="K304" s="384" t="s">
        <v>913</v>
      </c>
      <c r="L304" s="451" t="s">
        <v>914</v>
      </c>
      <c r="M304" s="97"/>
      <c r="N304" s="97">
        <v>2026</v>
      </c>
      <c r="O304" s="258"/>
    </row>
    <row r="305" spans="2:15" customFormat="1">
      <c r="B305" s="104"/>
      <c r="C305" s="96" t="s">
        <v>415</v>
      </c>
      <c r="D305" s="378" t="e" cm="1">
        <f t="array" aca="1" ref="D30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05" s="99" t="s">
        <v>912</v>
      </c>
      <c r="F305" s="104" t="s">
        <v>352</v>
      </c>
      <c r="G305" s="99" t="s">
        <v>891</v>
      </c>
      <c r="H305" s="426" t="s">
        <v>345</v>
      </c>
      <c r="I305" s="435">
        <v>14312760</v>
      </c>
      <c r="J305" s="153" t="s">
        <v>349</v>
      </c>
      <c r="K305" s="384" t="s">
        <v>913</v>
      </c>
      <c r="L305" s="451" t="s">
        <v>914</v>
      </c>
      <c r="M305" s="97"/>
      <c r="N305" s="97">
        <v>2026</v>
      </c>
      <c r="O305" s="258"/>
    </row>
    <row r="306" spans="2:15" customFormat="1">
      <c r="B306" s="104"/>
      <c r="C306" s="96" t="s">
        <v>415</v>
      </c>
      <c r="D306" s="378" t="e" cm="1">
        <f t="array" aca="1" ref="D30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06" s="99" t="s">
        <v>912</v>
      </c>
      <c r="F306" s="104" t="s">
        <v>352</v>
      </c>
      <c r="G306" s="99" t="s">
        <v>891</v>
      </c>
      <c r="H306" s="426" t="s">
        <v>345</v>
      </c>
      <c r="I306" s="435">
        <v>20446800</v>
      </c>
      <c r="J306" s="153" t="s">
        <v>349</v>
      </c>
      <c r="K306" s="384" t="s">
        <v>913</v>
      </c>
      <c r="L306" s="451" t="s">
        <v>914</v>
      </c>
      <c r="M306" s="97"/>
      <c r="N306" s="97">
        <v>2026</v>
      </c>
      <c r="O306" s="258"/>
    </row>
    <row r="307" spans="2:15" customFormat="1">
      <c r="B307" s="104"/>
      <c r="C307" s="96" t="s">
        <v>415</v>
      </c>
      <c r="D307" s="378" t="e" cm="1">
        <f t="array" aca="1" ref="D30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07" s="99" t="s">
        <v>912</v>
      </c>
      <c r="F307" s="104" t="s">
        <v>352</v>
      </c>
      <c r="G307" s="99" t="s">
        <v>894</v>
      </c>
      <c r="H307" s="426" t="s">
        <v>345</v>
      </c>
      <c r="I307" s="435">
        <v>7157304</v>
      </c>
      <c r="J307" s="153" t="s">
        <v>349</v>
      </c>
      <c r="K307" s="384" t="s">
        <v>913</v>
      </c>
      <c r="L307" s="451" t="s">
        <v>914</v>
      </c>
      <c r="M307" s="97"/>
      <c r="N307" s="97">
        <v>2026</v>
      </c>
      <c r="O307" s="258"/>
    </row>
    <row r="308" spans="2:15" customFormat="1">
      <c r="B308" s="104"/>
      <c r="C308" s="96" t="s">
        <v>420</v>
      </c>
      <c r="D308" s="378" t="e" cm="1">
        <f t="array" aca="1" ref="D30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08" s="99" t="s">
        <v>915</v>
      </c>
      <c r="F308" s="104" t="s">
        <v>352</v>
      </c>
      <c r="G308" s="99" t="s">
        <v>891</v>
      </c>
      <c r="H308" s="426" t="s">
        <v>348</v>
      </c>
      <c r="I308" s="435">
        <v>1860000000</v>
      </c>
      <c r="J308" s="153" t="s">
        <v>349</v>
      </c>
      <c r="K308" s="384" t="s">
        <v>916</v>
      </c>
      <c r="L308" s="412" t="s">
        <v>860</v>
      </c>
      <c r="M308" s="450" t="s">
        <v>917</v>
      </c>
      <c r="N308" s="97">
        <v>2026</v>
      </c>
      <c r="O308" s="258"/>
    </row>
    <row r="309" spans="2:15" customFormat="1">
      <c r="B309" s="104"/>
      <c r="C309" s="96" t="s">
        <v>396</v>
      </c>
      <c r="D309" s="378" t="e" cm="1">
        <f t="array" aca="1" ref="D30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09" s="99" t="s">
        <v>918</v>
      </c>
      <c r="F309" s="104" t="s">
        <v>352</v>
      </c>
      <c r="G309" s="99" t="s">
        <v>891</v>
      </c>
      <c r="H309" s="426" t="s">
        <v>342</v>
      </c>
      <c r="I309" s="435">
        <v>367250000</v>
      </c>
      <c r="J309" s="153" t="s">
        <v>349</v>
      </c>
      <c r="K309" s="384" t="s">
        <v>919</v>
      </c>
      <c r="L309" s="412" t="s">
        <v>858</v>
      </c>
      <c r="M309" s="97"/>
      <c r="N309" s="97">
        <v>2026</v>
      </c>
      <c r="O309" s="258"/>
    </row>
    <row r="310" spans="2:15" customFormat="1">
      <c r="B310" s="104"/>
      <c r="C310" s="96" t="s">
        <v>603</v>
      </c>
      <c r="D310" s="378" t="e" cm="1">
        <f t="array" aca="1" ref="D31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10" s="99" t="s">
        <v>920</v>
      </c>
      <c r="F310" s="104" t="s">
        <v>352</v>
      </c>
      <c r="G310" s="99" t="s">
        <v>891</v>
      </c>
      <c r="H310" s="426" t="s">
        <v>342</v>
      </c>
      <c r="I310" s="435">
        <v>508721859</v>
      </c>
      <c r="J310" s="153" t="s">
        <v>349</v>
      </c>
      <c r="K310" s="384" t="s">
        <v>921</v>
      </c>
      <c r="L310" s="412" t="s">
        <v>922</v>
      </c>
      <c r="M310" s="97"/>
      <c r="N310" s="97">
        <v>2026</v>
      </c>
      <c r="O310" s="258"/>
    </row>
    <row r="311" spans="2:15">
      <c r="B311" s="104"/>
      <c r="C311" s="96" t="s">
        <v>603</v>
      </c>
      <c r="D311" s="378" t="e" cm="1">
        <f t="array" aca="1" ref="D31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11" s="400" t="s">
        <v>920</v>
      </c>
      <c r="F311" s="104" t="s">
        <v>352</v>
      </c>
      <c r="G311" s="244" t="s">
        <v>891</v>
      </c>
      <c r="H311" s="426" t="s">
        <v>351</v>
      </c>
      <c r="I311" s="407">
        <v>509256354</v>
      </c>
      <c r="J311" s="153" t="s">
        <v>349</v>
      </c>
      <c r="K311" s="394" t="s">
        <v>921</v>
      </c>
      <c r="L311" s="412" t="s">
        <v>922</v>
      </c>
      <c r="M311" s="244"/>
      <c r="N311" s="97">
        <v>2026</v>
      </c>
      <c r="O311" s="496"/>
    </row>
    <row r="312" spans="2:15">
      <c r="B312" s="104"/>
      <c r="C312" s="104" t="s">
        <v>603</v>
      </c>
      <c r="D312" s="218" t="e" cm="1">
        <f t="array" aca="1" ref="D31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12" s="400" t="s">
        <v>920</v>
      </c>
      <c r="F312" s="104" t="s">
        <v>352</v>
      </c>
      <c r="G312" s="400" t="s">
        <v>891</v>
      </c>
      <c r="H312" s="426" t="s">
        <v>356</v>
      </c>
      <c r="I312" s="395">
        <v>115985940</v>
      </c>
      <c r="J312" s="153" t="s">
        <v>346</v>
      </c>
      <c r="K312" s="394" t="s">
        <v>921</v>
      </c>
      <c r="L312" s="412"/>
      <c r="M312" s="244"/>
      <c r="N312" s="244"/>
      <c r="O312" s="496"/>
    </row>
    <row r="313" spans="2:15" customFormat="1">
      <c r="B313" s="104"/>
      <c r="C313" s="96" t="s">
        <v>373</v>
      </c>
      <c r="D313" s="378" t="e" cm="1">
        <f t="array" aca="1" ref="D31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13" s="99" t="s">
        <v>923</v>
      </c>
      <c r="F313" s="104" t="s">
        <v>352</v>
      </c>
      <c r="G313" s="99" t="s">
        <v>891</v>
      </c>
      <c r="H313" s="426" t="s">
        <v>342</v>
      </c>
      <c r="I313" s="483">
        <v>2632500</v>
      </c>
      <c r="J313" s="153" t="s">
        <v>349</v>
      </c>
      <c r="K313" s="384" t="s">
        <v>924</v>
      </c>
      <c r="L313" s="412" t="s">
        <v>860</v>
      </c>
      <c r="M313" s="97"/>
      <c r="N313" s="97">
        <v>2026</v>
      </c>
      <c r="O313" s="258"/>
    </row>
    <row r="314" spans="2:15" customFormat="1">
      <c r="B314" s="104"/>
      <c r="C314" s="96" t="s">
        <v>411</v>
      </c>
      <c r="D314" s="378" t="e" cm="1">
        <f t="array" aca="1" ref="D31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14" s="99" t="s">
        <v>925</v>
      </c>
      <c r="F314" s="104" t="s">
        <v>352</v>
      </c>
      <c r="G314" s="99" t="s">
        <v>891</v>
      </c>
      <c r="H314" s="426" t="s">
        <v>342</v>
      </c>
      <c r="I314" s="483">
        <v>251000</v>
      </c>
      <c r="J314" s="153" t="s">
        <v>349</v>
      </c>
      <c r="K314" s="384" t="s">
        <v>924</v>
      </c>
      <c r="L314" s="412" t="s">
        <v>860</v>
      </c>
      <c r="M314" s="97"/>
      <c r="N314" s="97">
        <v>2026</v>
      </c>
      <c r="O314" s="258"/>
    </row>
    <row r="315" spans="2:15" customFormat="1">
      <c r="B315" s="104"/>
      <c r="C315" s="96" t="s">
        <v>415</v>
      </c>
      <c r="D315" s="378" t="e" cm="1">
        <f t="array" aca="1" ref="D31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15" s="99" t="s">
        <v>925</v>
      </c>
      <c r="F315" s="104" t="s">
        <v>352</v>
      </c>
      <c r="G315" s="99" t="s">
        <v>891</v>
      </c>
      <c r="H315" s="426" t="s">
        <v>342</v>
      </c>
      <c r="I315" s="483">
        <v>1011445</v>
      </c>
      <c r="J315" s="153" t="s">
        <v>349</v>
      </c>
      <c r="K315" s="384" t="s">
        <v>924</v>
      </c>
      <c r="L315" s="412" t="s">
        <v>860</v>
      </c>
      <c r="M315" s="97"/>
      <c r="N315" s="97">
        <v>2026</v>
      </c>
      <c r="O315" s="258"/>
    </row>
    <row r="316" spans="2:15" customFormat="1">
      <c r="B316" s="104"/>
      <c r="C316" s="96" t="s">
        <v>539</v>
      </c>
      <c r="D316" s="378" t="e" cm="1">
        <f t="array" aca="1" ref="D31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16" s="99" t="s">
        <v>925</v>
      </c>
      <c r="F316" s="104" t="s">
        <v>352</v>
      </c>
      <c r="G316" s="99" t="s">
        <v>891</v>
      </c>
      <c r="H316" s="426" t="s">
        <v>342</v>
      </c>
      <c r="I316" s="483">
        <v>2038989</v>
      </c>
      <c r="J316" s="153" t="s">
        <v>349</v>
      </c>
      <c r="K316" s="384" t="s">
        <v>924</v>
      </c>
      <c r="L316" s="412" t="s">
        <v>860</v>
      </c>
      <c r="M316" s="97"/>
      <c r="N316" s="97">
        <v>2026</v>
      </c>
      <c r="O316" s="258"/>
    </row>
    <row r="317" spans="2:15" customFormat="1">
      <c r="B317" s="104"/>
      <c r="C317" s="96" t="s">
        <v>415</v>
      </c>
      <c r="D317" s="378" t="e" cm="1">
        <f t="array" aca="1" ref="D31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17" s="99" t="s">
        <v>926</v>
      </c>
      <c r="F317" s="104" t="s">
        <v>352</v>
      </c>
      <c r="G317" s="99" t="s">
        <v>891</v>
      </c>
      <c r="H317" s="426" t="s">
        <v>342</v>
      </c>
      <c r="I317" s="483">
        <v>324000</v>
      </c>
      <c r="J317" s="153" t="s">
        <v>349</v>
      </c>
      <c r="K317" s="384" t="s">
        <v>924</v>
      </c>
      <c r="L317" s="412" t="s">
        <v>860</v>
      </c>
      <c r="M317" s="97"/>
      <c r="N317" s="97">
        <v>2026</v>
      </c>
      <c r="O317" s="258"/>
    </row>
    <row r="318" spans="2:15" customFormat="1">
      <c r="B318" s="104"/>
      <c r="C318" s="96" t="s">
        <v>411</v>
      </c>
      <c r="D318" s="378" t="e" cm="1">
        <f t="array" aca="1" ref="D31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18" s="99" t="s">
        <v>926</v>
      </c>
      <c r="F318" s="104" t="s">
        <v>352</v>
      </c>
      <c r="G318" s="99" t="s">
        <v>891</v>
      </c>
      <c r="H318" s="426" t="s">
        <v>342</v>
      </c>
      <c r="I318" s="483">
        <v>81000</v>
      </c>
      <c r="J318" s="153" t="s">
        <v>349</v>
      </c>
      <c r="K318" s="384" t="s">
        <v>927</v>
      </c>
      <c r="L318" s="412" t="s">
        <v>860</v>
      </c>
      <c r="M318" s="97"/>
      <c r="N318" s="97">
        <v>2026</v>
      </c>
      <c r="O318" s="258"/>
    </row>
    <row r="319" spans="2:15" customFormat="1">
      <c r="B319" s="104"/>
      <c r="C319" s="96" t="s">
        <v>373</v>
      </c>
      <c r="D319" s="378" t="e" cm="1">
        <f t="array" aca="1" ref="D31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19" s="99" t="s">
        <v>926</v>
      </c>
      <c r="F319" s="104" t="s">
        <v>352</v>
      </c>
      <c r="G319" s="99" t="s">
        <v>891</v>
      </c>
      <c r="H319" s="426" t="s">
        <v>342</v>
      </c>
      <c r="I319" s="483">
        <v>100000</v>
      </c>
      <c r="J319" s="153" t="s">
        <v>349</v>
      </c>
      <c r="K319" s="384" t="s">
        <v>924</v>
      </c>
      <c r="L319" s="412" t="s">
        <v>860</v>
      </c>
      <c r="M319" s="97"/>
      <c r="N319" s="97">
        <v>2026</v>
      </c>
      <c r="O319" s="258"/>
    </row>
    <row r="320" spans="2:15" customFormat="1">
      <c r="B320" s="104"/>
      <c r="C320" s="96" t="s">
        <v>411</v>
      </c>
      <c r="D320" s="378" t="e" cm="1">
        <f t="array" aca="1" ref="D32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20" s="99" t="s">
        <v>928</v>
      </c>
      <c r="F320" s="104" t="s">
        <v>352</v>
      </c>
      <c r="G320" s="99" t="s">
        <v>891</v>
      </c>
      <c r="H320" s="426" t="s">
        <v>342</v>
      </c>
      <c r="I320" s="483">
        <v>753720</v>
      </c>
      <c r="J320" s="153" t="s">
        <v>349</v>
      </c>
      <c r="K320" s="384" t="s">
        <v>924</v>
      </c>
      <c r="L320" s="412" t="s">
        <v>860</v>
      </c>
      <c r="M320" s="97"/>
      <c r="N320" s="97">
        <v>2026</v>
      </c>
      <c r="O320" s="258"/>
    </row>
    <row r="321" spans="2:15" customFormat="1">
      <c r="B321" s="104"/>
      <c r="C321" s="96" t="s">
        <v>539</v>
      </c>
      <c r="D321" s="378" t="e" cm="1">
        <f t="array" aca="1" ref="D32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21" s="99" t="s">
        <v>929</v>
      </c>
      <c r="F321" s="104" t="s">
        <v>352</v>
      </c>
      <c r="G321" s="99" t="s">
        <v>891</v>
      </c>
      <c r="H321" s="426" t="s">
        <v>342</v>
      </c>
      <c r="I321" s="483">
        <v>147737</v>
      </c>
      <c r="J321" s="153" t="s">
        <v>349</v>
      </c>
      <c r="K321" s="384" t="s">
        <v>924</v>
      </c>
      <c r="L321" s="412" t="s">
        <v>860</v>
      </c>
      <c r="M321" s="97"/>
      <c r="N321" s="97">
        <v>2026</v>
      </c>
      <c r="O321" s="258"/>
    </row>
    <row r="322" spans="2:15" customFormat="1">
      <c r="B322" s="104"/>
      <c r="C322" s="96" t="s">
        <v>414</v>
      </c>
      <c r="D322" s="378" t="e" cm="1">
        <f t="array" aca="1" ref="D32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22" s="99" t="s">
        <v>929</v>
      </c>
      <c r="F322" s="104" t="s">
        <v>352</v>
      </c>
      <c r="G322" s="99" t="s">
        <v>891</v>
      </c>
      <c r="H322" s="426" t="s">
        <v>342</v>
      </c>
      <c r="I322" s="483">
        <v>1202500</v>
      </c>
      <c r="J322" s="153" t="s">
        <v>349</v>
      </c>
      <c r="K322" s="384" t="s">
        <v>924</v>
      </c>
      <c r="L322" s="412" t="s">
        <v>860</v>
      </c>
      <c r="M322" s="97"/>
      <c r="N322" s="97">
        <v>2026</v>
      </c>
      <c r="O322" s="258"/>
    </row>
    <row r="323" spans="2:15" customFormat="1">
      <c r="B323" s="104"/>
      <c r="C323" s="96" t="s">
        <v>373</v>
      </c>
      <c r="D323" s="378" t="e" cm="1">
        <f t="array" aca="1" ref="D32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23" s="99" t="s">
        <v>930</v>
      </c>
      <c r="F323" s="104" t="s">
        <v>352</v>
      </c>
      <c r="G323" s="99" t="s">
        <v>891</v>
      </c>
      <c r="H323" s="426" t="s">
        <v>342</v>
      </c>
      <c r="I323" s="483">
        <v>13204800</v>
      </c>
      <c r="J323" s="153" t="s">
        <v>349</v>
      </c>
      <c r="K323" s="384" t="s">
        <v>924</v>
      </c>
      <c r="L323" s="412" t="s">
        <v>860</v>
      </c>
      <c r="M323" s="97"/>
      <c r="N323" s="97">
        <v>2026</v>
      </c>
      <c r="O323" s="258"/>
    </row>
    <row r="324" spans="2:15" customFormat="1">
      <c r="B324" s="104"/>
      <c r="C324" s="96" t="s">
        <v>373</v>
      </c>
      <c r="D324" s="378" t="e" cm="1">
        <f t="array" aca="1" ref="D32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24" s="99" t="s">
        <v>931</v>
      </c>
      <c r="F324" s="104" t="s">
        <v>352</v>
      </c>
      <c r="G324" s="99" t="s">
        <v>891</v>
      </c>
      <c r="H324" s="426" t="s">
        <v>342</v>
      </c>
      <c r="I324" s="483">
        <v>2019000</v>
      </c>
      <c r="J324" s="153" t="s">
        <v>349</v>
      </c>
      <c r="K324" s="384" t="s">
        <v>924</v>
      </c>
      <c r="L324" s="412" t="s">
        <v>860</v>
      </c>
      <c r="M324" s="97"/>
      <c r="N324" s="97">
        <v>2026</v>
      </c>
      <c r="O324" s="258"/>
    </row>
    <row r="325" spans="2:15" customFormat="1">
      <c r="B325" s="104"/>
      <c r="C325" s="96" t="s">
        <v>413</v>
      </c>
      <c r="D325" s="378" t="e" cm="1">
        <f t="array" aca="1" ref="D32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25" s="99" t="s">
        <v>928</v>
      </c>
      <c r="F325" s="104" t="s">
        <v>352</v>
      </c>
      <c r="G325" s="99" t="s">
        <v>891</v>
      </c>
      <c r="H325" s="426" t="s">
        <v>342</v>
      </c>
      <c r="I325" s="483">
        <v>2311924</v>
      </c>
      <c r="J325" s="153" t="s">
        <v>349</v>
      </c>
      <c r="K325" s="384" t="s">
        <v>924</v>
      </c>
      <c r="L325" s="412" t="s">
        <v>860</v>
      </c>
      <c r="M325" s="97"/>
      <c r="N325" s="97">
        <v>2026</v>
      </c>
      <c r="O325" s="258"/>
    </row>
    <row r="326" spans="2:15" customFormat="1">
      <c r="B326" s="104"/>
      <c r="C326" s="96" t="s">
        <v>564</v>
      </c>
      <c r="D326" s="378" t="e" cm="1">
        <f t="array" aca="1" ref="D32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26" s="99" t="s">
        <v>928</v>
      </c>
      <c r="F326" s="104" t="s">
        <v>352</v>
      </c>
      <c r="G326" s="99" t="s">
        <v>891</v>
      </c>
      <c r="H326" s="426" t="s">
        <v>342</v>
      </c>
      <c r="I326" s="483">
        <v>1038557</v>
      </c>
      <c r="J326" s="153" t="s">
        <v>349</v>
      </c>
      <c r="K326" s="384" t="s">
        <v>924</v>
      </c>
      <c r="L326" s="412" t="s">
        <v>860</v>
      </c>
      <c r="M326" s="97"/>
      <c r="N326" s="97">
        <v>2026</v>
      </c>
      <c r="O326" s="258"/>
    </row>
    <row r="327" spans="2:15" customFormat="1">
      <c r="B327" s="104"/>
      <c r="C327" s="96" t="s">
        <v>373</v>
      </c>
      <c r="D327" s="378" t="e" cm="1">
        <f t="array" aca="1" ref="D32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27" s="99" t="s">
        <v>932</v>
      </c>
      <c r="F327" s="104" t="s">
        <v>352</v>
      </c>
      <c r="G327" s="99" t="s">
        <v>891</v>
      </c>
      <c r="H327" s="426" t="s">
        <v>342</v>
      </c>
      <c r="I327" s="483">
        <v>4050000</v>
      </c>
      <c r="J327" s="153" t="s">
        <v>349</v>
      </c>
      <c r="K327" s="384" t="s">
        <v>924</v>
      </c>
      <c r="L327" s="412" t="s">
        <v>860</v>
      </c>
      <c r="M327" s="97"/>
      <c r="N327" s="97">
        <v>2026</v>
      </c>
      <c r="O327" s="258"/>
    </row>
    <row r="328" spans="2:15" customFormat="1">
      <c r="B328" s="104"/>
      <c r="C328" s="96" t="s">
        <v>373</v>
      </c>
      <c r="D328" s="378" t="e" cm="1">
        <f t="array" aca="1" ref="D32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28" s="99" t="s">
        <v>931</v>
      </c>
      <c r="F328" s="104" t="s">
        <v>352</v>
      </c>
      <c r="G328" s="99" t="s">
        <v>891</v>
      </c>
      <c r="H328" s="426" t="s">
        <v>342</v>
      </c>
      <c r="I328" s="485">
        <v>699500</v>
      </c>
      <c r="J328" s="153" t="s">
        <v>349</v>
      </c>
      <c r="K328" s="384" t="s">
        <v>924</v>
      </c>
      <c r="L328" s="412" t="s">
        <v>860</v>
      </c>
      <c r="M328" s="97"/>
      <c r="N328" s="97">
        <v>2026</v>
      </c>
      <c r="O328" s="258"/>
    </row>
    <row r="329" spans="2:15" customFormat="1">
      <c r="B329" s="104"/>
      <c r="C329" s="96" t="s">
        <v>373</v>
      </c>
      <c r="D329" s="378" t="e" cm="1">
        <f t="array" aca="1" ref="D32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29" s="99" t="s">
        <v>933</v>
      </c>
      <c r="F329" s="104" t="s">
        <v>352</v>
      </c>
      <c r="G329" s="99" t="s">
        <v>891</v>
      </c>
      <c r="H329" s="426" t="s">
        <v>342</v>
      </c>
      <c r="I329" s="483">
        <v>250000</v>
      </c>
      <c r="J329" s="153" t="s">
        <v>349</v>
      </c>
      <c r="K329" s="384" t="s">
        <v>924</v>
      </c>
      <c r="L329" s="412" t="s">
        <v>860</v>
      </c>
      <c r="M329" s="97"/>
      <c r="N329" s="97">
        <v>2026</v>
      </c>
      <c r="O329" s="258"/>
    </row>
    <row r="330" spans="2:15" customFormat="1">
      <c r="B330" s="104"/>
      <c r="C330" s="96" t="s">
        <v>373</v>
      </c>
      <c r="D330" s="378" t="e" cm="1">
        <f t="array" aca="1" ref="D33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30" s="99" t="s">
        <v>923</v>
      </c>
      <c r="F330" s="104" t="s">
        <v>352</v>
      </c>
      <c r="G330" s="99" t="s">
        <v>891</v>
      </c>
      <c r="H330" s="426" t="s">
        <v>345</v>
      </c>
      <c r="I330" s="486">
        <v>877500</v>
      </c>
      <c r="J330" s="153" t="s">
        <v>349</v>
      </c>
      <c r="K330" s="384" t="s">
        <v>924</v>
      </c>
      <c r="L330" s="412" t="s">
        <v>860</v>
      </c>
      <c r="M330" s="97"/>
      <c r="N330" s="97">
        <v>2026</v>
      </c>
      <c r="O330" s="258"/>
    </row>
    <row r="331" spans="2:15" customFormat="1">
      <c r="B331" s="104"/>
      <c r="C331" s="96" t="s">
        <v>411</v>
      </c>
      <c r="D331" s="378" t="e" cm="1">
        <f t="array" aca="1" ref="D33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31" s="99" t="s">
        <v>928</v>
      </c>
      <c r="F331" s="104" t="s">
        <v>352</v>
      </c>
      <c r="G331" s="99" t="s">
        <v>891</v>
      </c>
      <c r="H331" s="426" t="s">
        <v>345</v>
      </c>
      <c r="I331" s="486">
        <v>995440</v>
      </c>
      <c r="J331" s="153" t="s">
        <v>349</v>
      </c>
      <c r="K331" s="384" t="s">
        <v>924</v>
      </c>
      <c r="L331" s="412" t="s">
        <v>860</v>
      </c>
      <c r="M331" s="97"/>
      <c r="N331" s="97">
        <v>2026</v>
      </c>
      <c r="O331" s="258"/>
    </row>
    <row r="332" spans="2:15" customFormat="1">
      <c r="B332" s="104"/>
      <c r="C332" s="96" t="s">
        <v>411</v>
      </c>
      <c r="D332" s="378" t="e" cm="1">
        <f t="array" aca="1" ref="D33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32" s="99" t="s">
        <v>926</v>
      </c>
      <c r="F332" s="104" t="s">
        <v>352</v>
      </c>
      <c r="G332" s="99" t="s">
        <v>891</v>
      </c>
      <c r="H332" s="426" t="s">
        <v>345</v>
      </c>
      <c r="I332" s="486">
        <v>55000</v>
      </c>
      <c r="J332" s="153" t="s">
        <v>349</v>
      </c>
      <c r="K332" s="384" t="s">
        <v>924</v>
      </c>
      <c r="L332" s="412" t="s">
        <v>860</v>
      </c>
      <c r="M332" s="97"/>
      <c r="N332" s="97">
        <v>2026</v>
      </c>
      <c r="O332" s="258"/>
    </row>
    <row r="333" spans="2:15" customFormat="1">
      <c r="B333" s="104"/>
      <c r="C333" s="96" t="s">
        <v>373</v>
      </c>
      <c r="D333" s="378" t="e" cm="1">
        <f t="array" aca="1" ref="D33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33" s="99" t="s">
        <v>926</v>
      </c>
      <c r="F333" s="104" t="s">
        <v>352</v>
      </c>
      <c r="G333" s="99" t="s">
        <v>891</v>
      </c>
      <c r="H333" s="426" t="s">
        <v>345</v>
      </c>
      <c r="I333" s="486">
        <v>100000</v>
      </c>
      <c r="J333" s="153" t="s">
        <v>349</v>
      </c>
      <c r="K333" s="384" t="s">
        <v>924</v>
      </c>
      <c r="L333" s="412" t="s">
        <v>860</v>
      </c>
      <c r="M333" s="97"/>
      <c r="N333" s="97">
        <v>2026</v>
      </c>
      <c r="O333" s="258"/>
    </row>
    <row r="334" spans="2:15" customFormat="1">
      <c r="B334" s="104"/>
      <c r="C334" s="96" t="s">
        <v>415</v>
      </c>
      <c r="D334" s="378" t="e" cm="1">
        <f t="array" aca="1" ref="D33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34" s="99" t="s">
        <v>926</v>
      </c>
      <c r="F334" s="104" t="s">
        <v>352</v>
      </c>
      <c r="G334" s="99" t="s">
        <v>891</v>
      </c>
      <c r="H334" s="426" t="s">
        <v>345</v>
      </c>
      <c r="I334" s="487">
        <v>324000</v>
      </c>
      <c r="J334" s="153" t="s">
        <v>349</v>
      </c>
      <c r="K334" s="384" t="s">
        <v>924</v>
      </c>
      <c r="L334" s="412" t="s">
        <v>860</v>
      </c>
      <c r="M334" s="97"/>
      <c r="N334" s="97">
        <v>2026</v>
      </c>
      <c r="O334" s="258"/>
    </row>
    <row r="335" spans="2:15" customFormat="1">
      <c r="B335" s="104"/>
      <c r="C335" s="96" t="s">
        <v>411</v>
      </c>
      <c r="D335" s="378" t="e" cm="1">
        <f t="array" aca="1" ref="D33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35" s="99" t="s">
        <v>925</v>
      </c>
      <c r="F335" s="104" t="s">
        <v>352</v>
      </c>
      <c r="G335" s="99" t="s">
        <v>891</v>
      </c>
      <c r="H335" s="426" t="s">
        <v>345</v>
      </c>
      <c r="I335" s="486">
        <v>608750</v>
      </c>
      <c r="J335" s="153" t="s">
        <v>349</v>
      </c>
      <c r="K335" s="384" t="s">
        <v>924</v>
      </c>
      <c r="L335" s="412" t="s">
        <v>860</v>
      </c>
      <c r="M335" s="97"/>
      <c r="N335" s="97">
        <v>2026</v>
      </c>
      <c r="O335" s="258"/>
    </row>
    <row r="336" spans="2:15" customFormat="1">
      <c r="B336" s="104"/>
      <c r="C336" s="96" t="s">
        <v>415</v>
      </c>
      <c r="D336" s="378" t="e" cm="1">
        <f t="array" aca="1" ref="D33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36" s="99" t="s">
        <v>925</v>
      </c>
      <c r="F336" s="104" t="s">
        <v>352</v>
      </c>
      <c r="G336" s="99" t="s">
        <v>891</v>
      </c>
      <c r="H336" s="426" t="s">
        <v>345</v>
      </c>
      <c r="I336" s="486">
        <v>4309500</v>
      </c>
      <c r="J336" s="153" t="s">
        <v>349</v>
      </c>
      <c r="K336" s="384" t="s">
        <v>924</v>
      </c>
      <c r="L336" s="412" t="s">
        <v>860</v>
      </c>
      <c r="M336" s="97"/>
      <c r="N336" s="97">
        <v>2026</v>
      </c>
      <c r="O336" s="258"/>
    </row>
    <row r="337" spans="2:15" customFormat="1">
      <c r="B337" s="104"/>
      <c r="C337" s="96" t="s">
        <v>413</v>
      </c>
      <c r="D337" s="378" t="e" cm="1">
        <f t="array" aca="1" ref="D33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37" s="99" t="s">
        <v>928</v>
      </c>
      <c r="F337" s="104" t="s">
        <v>352</v>
      </c>
      <c r="G337" s="99" t="s">
        <v>891</v>
      </c>
      <c r="H337" s="426" t="s">
        <v>345</v>
      </c>
      <c r="I337" s="486">
        <v>2364629</v>
      </c>
      <c r="J337" s="153" t="s">
        <v>349</v>
      </c>
      <c r="K337" s="384" t="s">
        <v>924</v>
      </c>
      <c r="L337" s="412" t="s">
        <v>860</v>
      </c>
      <c r="M337" s="97"/>
      <c r="N337" s="97">
        <v>2026</v>
      </c>
      <c r="O337" s="258"/>
    </row>
    <row r="338" spans="2:15" customFormat="1">
      <c r="B338" s="104"/>
      <c r="C338" s="96" t="s">
        <v>373</v>
      </c>
      <c r="D338" s="378" t="e" cm="1">
        <f t="array" aca="1" ref="D33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38" s="99" t="s">
        <v>931</v>
      </c>
      <c r="F338" s="104" t="s">
        <v>352</v>
      </c>
      <c r="G338" s="99" t="s">
        <v>891</v>
      </c>
      <c r="H338" s="426" t="s">
        <v>345</v>
      </c>
      <c r="I338" s="435">
        <v>661000</v>
      </c>
      <c r="J338" s="153" t="s">
        <v>349</v>
      </c>
      <c r="K338" s="384" t="s">
        <v>924</v>
      </c>
      <c r="L338" s="412" t="s">
        <v>860</v>
      </c>
      <c r="M338" s="97"/>
      <c r="N338" s="97">
        <v>2026</v>
      </c>
      <c r="O338" s="258"/>
    </row>
    <row r="339" spans="2:15" customFormat="1">
      <c r="B339" s="104"/>
      <c r="C339" s="96" t="s">
        <v>373</v>
      </c>
      <c r="D339" s="378" t="e" cm="1">
        <f t="array" aca="1" ref="D33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39" s="99" t="s">
        <v>931</v>
      </c>
      <c r="F339" s="104" t="s">
        <v>352</v>
      </c>
      <c r="G339" s="99" t="s">
        <v>891</v>
      </c>
      <c r="H339" s="426" t="s">
        <v>345</v>
      </c>
      <c r="I339" s="435">
        <v>1344000</v>
      </c>
      <c r="J339" s="153" t="s">
        <v>349</v>
      </c>
      <c r="K339" s="384" t="s">
        <v>924</v>
      </c>
      <c r="L339" s="412" t="s">
        <v>860</v>
      </c>
      <c r="M339" s="97"/>
      <c r="N339" s="97">
        <v>2026</v>
      </c>
      <c r="O339" s="258"/>
    </row>
    <row r="340" spans="2:15" customFormat="1">
      <c r="B340" s="104"/>
      <c r="C340" s="96" t="s">
        <v>373</v>
      </c>
      <c r="D340" s="378" t="e" cm="1">
        <f t="array" aca="1" ref="D34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40" s="99" t="s">
        <v>933</v>
      </c>
      <c r="F340" s="104" t="s">
        <v>352</v>
      </c>
      <c r="G340" s="99" t="s">
        <v>891</v>
      </c>
      <c r="H340" s="426" t="s">
        <v>345</v>
      </c>
      <c r="I340" s="486">
        <v>293400</v>
      </c>
      <c r="J340" s="153" t="s">
        <v>349</v>
      </c>
      <c r="K340" s="384" t="s">
        <v>924</v>
      </c>
      <c r="L340" s="412" t="s">
        <v>860</v>
      </c>
      <c r="M340" s="97"/>
      <c r="N340" s="97">
        <v>2026</v>
      </c>
      <c r="O340" s="258"/>
    </row>
    <row r="341" spans="2:15" customFormat="1">
      <c r="B341" s="104"/>
      <c r="C341" s="96" t="s">
        <v>373</v>
      </c>
      <c r="D341" s="378" t="e" cm="1">
        <f t="array" aca="1" ref="D34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41" s="99" t="s">
        <v>932</v>
      </c>
      <c r="F341" s="104" t="s">
        <v>352</v>
      </c>
      <c r="G341" s="99" t="s">
        <v>894</v>
      </c>
      <c r="H341" s="426" t="s">
        <v>345</v>
      </c>
      <c r="I341" s="486">
        <v>4550000</v>
      </c>
      <c r="J341" s="153" t="s">
        <v>349</v>
      </c>
      <c r="K341" s="384" t="s">
        <v>924</v>
      </c>
      <c r="L341" s="412" t="s">
        <v>860</v>
      </c>
      <c r="M341" s="97"/>
      <c r="N341" s="97">
        <v>2026</v>
      </c>
      <c r="O341" s="258"/>
    </row>
    <row r="342" spans="2:15" customFormat="1">
      <c r="B342" s="104"/>
      <c r="C342" s="96" t="s">
        <v>414</v>
      </c>
      <c r="D342" s="378" t="e" cm="1">
        <f t="array" aca="1" ref="D34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42" s="99" t="s">
        <v>929</v>
      </c>
      <c r="F342" s="104" t="s">
        <v>352</v>
      </c>
      <c r="G342" s="99" t="s">
        <v>891</v>
      </c>
      <c r="H342" s="426" t="s">
        <v>345</v>
      </c>
      <c r="I342" s="486">
        <v>850000</v>
      </c>
      <c r="J342" s="153" t="s">
        <v>349</v>
      </c>
      <c r="K342" s="384" t="s">
        <v>924</v>
      </c>
      <c r="L342" s="412" t="s">
        <v>860</v>
      </c>
      <c r="M342" s="97"/>
      <c r="N342" s="97">
        <v>2026</v>
      </c>
      <c r="O342" s="258"/>
    </row>
    <row r="343" spans="2:15" customFormat="1">
      <c r="B343" s="104"/>
      <c r="C343" s="96" t="s">
        <v>373</v>
      </c>
      <c r="D343" s="378" t="e" cm="1">
        <f t="array" aca="1" ref="D34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43" s="99" t="s">
        <v>932</v>
      </c>
      <c r="F343" s="104" t="s">
        <v>352</v>
      </c>
      <c r="G343" s="99" t="s">
        <v>891</v>
      </c>
      <c r="H343" s="426" t="s">
        <v>348</v>
      </c>
      <c r="I343" s="492">
        <v>2350000</v>
      </c>
      <c r="J343" s="153" t="s">
        <v>349</v>
      </c>
      <c r="K343" s="384" t="s">
        <v>924</v>
      </c>
      <c r="L343" s="412" t="s">
        <v>860</v>
      </c>
      <c r="M343" s="97"/>
      <c r="N343" s="97">
        <v>2026</v>
      </c>
      <c r="O343" s="258"/>
    </row>
    <row r="344" spans="2:15" customFormat="1">
      <c r="B344" s="104"/>
      <c r="C344" s="96" t="s">
        <v>415</v>
      </c>
      <c r="D344" s="378" t="e" cm="1">
        <f t="array" aca="1" ref="D34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44" s="99" t="s">
        <v>926</v>
      </c>
      <c r="F344" s="104" t="s">
        <v>352</v>
      </c>
      <c r="G344" s="99" t="s">
        <v>891</v>
      </c>
      <c r="H344" s="426" t="s">
        <v>348</v>
      </c>
      <c r="I344" s="492">
        <v>324000</v>
      </c>
      <c r="J344" s="153" t="s">
        <v>349</v>
      </c>
      <c r="K344" s="384" t="s">
        <v>924</v>
      </c>
      <c r="L344" s="412" t="s">
        <v>860</v>
      </c>
      <c r="M344" s="97"/>
      <c r="N344" s="97">
        <v>2026</v>
      </c>
      <c r="O344" s="258"/>
    </row>
    <row r="345" spans="2:15" customFormat="1">
      <c r="B345" s="104"/>
      <c r="C345" s="96" t="s">
        <v>411</v>
      </c>
      <c r="D345" s="378" t="e" cm="1">
        <f t="array" aca="1" ref="D34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45" s="99" t="s">
        <v>926</v>
      </c>
      <c r="F345" s="104" t="s">
        <v>352</v>
      </c>
      <c r="G345" s="99" t="s">
        <v>894</v>
      </c>
      <c r="H345" s="426" t="s">
        <v>348</v>
      </c>
      <c r="I345" s="492">
        <v>50000</v>
      </c>
      <c r="J345" s="153" t="s">
        <v>349</v>
      </c>
      <c r="K345" s="384" t="s">
        <v>924</v>
      </c>
      <c r="L345" s="412" t="s">
        <v>860</v>
      </c>
      <c r="M345" s="97"/>
      <c r="N345" s="97">
        <v>2026</v>
      </c>
      <c r="O345" s="258"/>
    </row>
    <row r="346" spans="2:15" customFormat="1">
      <c r="B346" s="104"/>
      <c r="C346" s="96" t="s">
        <v>373</v>
      </c>
      <c r="D346" s="378" t="e" cm="1">
        <f t="array" aca="1" ref="D34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46" s="99" t="s">
        <v>926</v>
      </c>
      <c r="F346" s="104" t="s">
        <v>352</v>
      </c>
      <c r="G346" s="99" t="s">
        <v>891</v>
      </c>
      <c r="H346" s="426" t="s">
        <v>348</v>
      </c>
      <c r="I346" s="492">
        <v>100000</v>
      </c>
      <c r="J346" s="153" t="s">
        <v>349</v>
      </c>
      <c r="K346" s="384" t="s">
        <v>924</v>
      </c>
      <c r="L346" s="412" t="s">
        <v>860</v>
      </c>
      <c r="M346" s="97"/>
      <c r="N346" s="97">
        <v>2026</v>
      </c>
      <c r="O346" s="258"/>
    </row>
    <row r="347" spans="2:15" customFormat="1">
      <c r="B347" s="104"/>
      <c r="C347" s="96" t="s">
        <v>411</v>
      </c>
      <c r="D347" s="378" t="e" cm="1">
        <f t="array" aca="1" ref="D34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47" s="99" t="s">
        <v>928</v>
      </c>
      <c r="F347" s="104" t="s">
        <v>352</v>
      </c>
      <c r="G347" s="99" t="s">
        <v>891</v>
      </c>
      <c r="H347" s="426" t="s">
        <v>348</v>
      </c>
      <c r="I347" s="492">
        <v>941494</v>
      </c>
      <c r="J347" s="153" t="s">
        <v>349</v>
      </c>
      <c r="K347" s="384" t="s">
        <v>924</v>
      </c>
      <c r="L347" s="412" t="s">
        <v>860</v>
      </c>
      <c r="M347" s="97"/>
      <c r="N347" s="97">
        <v>2026</v>
      </c>
      <c r="O347" s="258"/>
    </row>
    <row r="348" spans="2:15" customFormat="1">
      <c r="B348" s="104"/>
      <c r="C348" s="96" t="s">
        <v>411</v>
      </c>
      <c r="D348" s="378" t="e" cm="1">
        <f t="array" aca="1" ref="D34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48" s="99" t="s">
        <v>925</v>
      </c>
      <c r="F348" s="104" t="s">
        <v>352</v>
      </c>
      <c r="G348" s="99" t="s">
        <v>891</v>
      </c>
      <c r="H348" s="426" t="s">
        <v>348</v>
      </c>
      <c r="I348" s="492">
        <v>6244750</v>
      </c>
      <c r="J348" s="153" t="s">
        <v>349</v>
      </c>
      <c r="K348" s="384" t="s">
        <v>924</v>
      </c>
      <c r="L348" s="412" t="s">
        <v>860</v>
      </c>
      <c r="M348" s="97"/>
      <c r="N348" s="97">
        <v>2026</v>
      </c>
      <c r="O348" s="258"/>
    </row>
    <row r="349" spans="2:15" customFormat="1">
      <c r="B349" s="104"/>
      <c r="C349" s="96" t="s">
        <v>373</v>
      </c>
      <c r="D349" s="378" t="e" cm="1">
        <f t="array" aca="1" ref="D34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49" s="99" t="s">
        <v>930</v>
      </c>
      <c r="F349" s="104" t="s">
        <v>352</v>
      </c>
      <c r="G349" s="99" t="s">
        <v>891</v>
      </c>
      <c r="H349" s="426" t="s">
        <v>348</v>
      </c>
      <c r="I349" s="492">
        <v>1922000</v>
      </c>
      <c r="J349" s="153" t="s">
        <v>349</v>
      </c>
      <c r="K349" s="384" t="s">
        <v>924</v>
      </c>
      <c r="L349" s="412" t="s">
        <v>860</v>
      </c>
      <c r="M349" s="97"/>
      <c r="N349" s="97">
        <v>2026</v>
      </c>
      <c r="O349" s="258"/>
    </row>
    <row r="350" spans="2:15" customFormat="1">
      <c r="B350" s="104"/>
      <c r="C350" s="96" t="s">
        <v>415</v>
      </c>
      <c r="D350" s="378" t="e" cm="1">
        <f t="array" aca="1" ref="D35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50" s="99" t="s">
        <v>929</v>
      </c>
      <c r="F350" s="104" t="s">
        <v>352</v>
      </c>
      <c r="G350" s="99" t="s">
        <v>891</v>
      </c>
      <c r="H350" s="426" t="s">
        <v>348</v>
      </c>
      <c r="I350" s="492">
        <v>625000</v>
      </c>
      <c r="J350" s="153" t="s">
        <v>349</v>
      </c>
      <c r="K350" s="384" t="s">
        <v>924</v>
      </c>
      <c r="L350" s="412" t="s">
        <v>860</v>
      </c>
      <c r="M350" s="97"/>
      <c r="N350" s="97">
        <v>2026</v>
      </c>
      <c r="O350" s="258"/>
    </row>
    <row r="351" spans="2:15" customFormat="1">
      <c r="B351" s="104"/>
      <c r="C351" s="96" t="s">
        <v>414</v>
      </c>
      <c r="D351" s="378" t="e" cm="1">
        <f t="array" aca="1" ref="D35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51" s="99" t="s">
        <v>929</v>
      </c>
      <c r="F351" s="104" t="s">
        <v>352</v>
      </c>
      <c r="G351" s="99" t="s">
        <v>891</v>
      </c>
      <c r="H351" s="426" t="s">
        <v>348</v>
      </c>
      <c r="I351" s="492">
        <v>913000</v>
      </c>
      <c r="J351" s="153" t="s">
        <v>349</v>
      </c>
      <c r="K351" s="384" t="s">
        <v>924</v>
      </c>
      <c r="L351" s="412" t="s">
        <v>860</v>
      </c>
      <c r="M351" s="97"/>
      <c r="N351" s="97">
        <v>2026</v>
      </c>
      <c r="O351" s="258"/>
    </row>
    <row r="352" spans="2:15" customFormat="1">
      <c r="B352" s="104"/>
      <c r="C352" s="96" t="s">
        <v>414</v>
      </c>
      <c r="D352" s="378" t="e" cm="1">
        <f t="array" aca="1" ref="D35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52" s="99" t="s">
        <v>934</v>
      </c>
      <c r="F352" s="104" t="s">
        <v>352</v>
      </c>
      <c r="G352" s="99" t="s">
        <v>891</v>
      </c>
      <c r="H352" s="426" t="s">
        <v>348</v>
      </c>
      <c r="I352" s="492">
        <v>1044833</v>
      </c>
      <c r="J352" s="153" t="s">
        <v>349</v>
      </c>
      <c r="K352" s="384" t="s">
        <v>924</v>
      </c>
      <c r="L352" s="412" t="s">
        <v>860</v>
      </c>
      <c r="M352" s="97"/>
      <c r="N352" s="97">
        <v>2026</v>
      </c>
      <c r="O352" s="258"/>
    </row>
    <row r="353" spans="2:15" customFormat="1">
      <c r="B353" s="104"/>
      <c r="C353" s="96" t="s">
        <v>373</v>
      </c>
      <c r="D353" s="378" t="e" cm="1">
        <f t="array" aca="1" ref="D35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53" s="99" t="s">
        <v>931</v>
      </c>
      <c r="F353" s="104" t="s">
        <v>352</v>
      </c>
      <c r="G353" s="99" t="s">
        <v>891</v>
      </c>
      <c r="H353" s="426" t="s">
        <v>348</v>
      </c>
      <c r="I353" s="492">
        <v>220000</v>
      </c>
      <c r="J353" s="153" t="s">
        <v>349</v>
      </c>
      <c r="K353" s="384" t="s">
        <v>924</v>
      </c>
      <c r="L353" s="412" t="s">
        <v>860</v>
      </c>
      <c r="M353" s="97"/>
      <c r="N353" s="97">
        <v>2026</v>
      </c>
      <c r="O353" s="258"/>
    </row>
    <row r="354" spans="2:15" customFormat="1">
      <c r="B354" s="104"/>
      <c r="C354" s="96" t="s">
        <v>373</v>
      </c>
      <c r="D354" s="378" t="e" cm="1">
        <f t="array" aca="1" ref="D35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54" s="99" t="s">
        <v>923</v>
      </c>
      <c r="F354" s="104" t="s">
        <v>352</v>
      </c>
      <c r="G354" s="99" t="s">
        <v>891</v>
      </c>
      <c r="H354" s="426" t="s">
        <v>348</v>
      </c>
      <c r="I354" s="492">
        <v>1755000</v>
      </c>
      <c r="J354" s="153" t="s">
        <v>349</v>
      </c>
      <c r="K354" s="384" t="s">
        <v>924</v>
      </c>
      <c r="L354" s="412" t="s">
        <v>860</v>
      </c>
      <c r="M354" s="97"/>
      <c r="N354" s="97">
        <v>2026</v>
      </c>
      <c r="O354" s="258"/>
    </row>
    <row r="355" spans="2:15" customFormat="1">
      <c r="B355" s="104"/>
      <c r="C355" s="96" t="s">
        <v>373</v>
      </c>
      <c r="D355" s="378" t="e" cm="1">
        <f t="array" aca="1" ref="D35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55" s="99" t="s">
        <v>933</v>
      </c>
      <c r="F355" s="104" t="s">
        <v>352</v>
      </c>
      <c r="G355" s="99" t="s">
        <v>891</v>
      </c>
      <c r="H355" s="426" t="s">
        <v>348</v>
      </c>
      <c r="I355" s="492">
        <v>294900</v>
      </c>
      <c r="J355" s="153" t="s">
        <v>349</v>
      </c>
      <c r="K355" s="384" t="s">
        <v>924</v>
      </c>
      <c r="L355" s="412" t="s">
        <v>860</v>
      </c>
      <c r="M355" s="97"/>
      <c r="N355" s="97">
        <v>2026</v>
      </c>
      <c r="O355" s="258"/>
    </row>
    <row r="356" spans="2:15" customFormat="1">
      <c r="B356" s="104"/>
      <c r="C356" s="96" t="s">
        <v>411</v>
      </c>
      <c r="D356" s="378" t="e" cm="1">
        <f t="array" aca="1" ref="D35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56" s="99" t="s">
        <v>935</v>
      </c>
      <c r="F356" s="104" t="s">
        <v>352</v>
      </c>
      <c r="G356" s="99" t="s">
        <v>891</v>
      </c>
      <c r="H356" s="426" t="s">
        <v>342</v>
      </c>
      <c r="I356" s="435">
        <v>72000000</v>
      </c>
      <c r="J356" s="153" t="s">
        <v>349</v>
      </c>
      <c r="K356" s="384" t="s">
        <v>936</v>
      </c>
      <c r="L356" s="412" t="s">
        <v>914</v>
      </c>
      <c r="M356" s="97"/>
      <c r="N356" s="97">
        <v>2026</v>
      </c>
      <c r="O356" s="258"/>
    </row>
    <row r="357" spans="2:15" customFormat="1">
      <c r="B357" s="104"/>
      <c r="C357" s="96" t="s">
        <v>576</v>
      </c>
      <c r="D357" s="378" t="e" cm="1">
        <f t="array" aca="1" ref="D35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57" s="99" t="s">
        <v>937</v>
      </c>
      <c r="F357" s="104" t="s">
        <v>352</v>
      </c>
      <c r="G357" s="99" t="s">
        <v>894</v>
      </c>
      <c r="H357" s="426" t="s">
        <v>342</v>
      </c>
      <c r="I357" s="435">
        <v>312000000</v>
      </c>
      <c r="J357" s="153" t="s">
        <v>349</v>
      </c>
      <c r="K357" s="384" t="s">
        <v>936</v>
      </c>
      <c r="L357" s="412" t="s">
        <v>914</v>
      </c>
      <c r="M357" s="97"/>
      <c r="N357" s="97">
        <v>2026</v>
      </c>
      <c r="O357" s="258"/>
    </row>
    <row r="358" spans="2:15" customFormat="1">
      <c r="B358" s="104"/>
      <c r="C358" s="96" t="s">
        <v>411</v>
      </c>
      <c r="D358" s="378" t="e" cm="1">
        <f t="array" aca="1" ref="D35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58" s="99" t="s">
        <v>938</v>
      </c>
      <c r="F358" s="104" t="s">
        <v>352</v>
      </c>
      <c r="G358" s="99" t="s">
        <v>891</v>
      </c>
      <c r="H358" s="426" t="s">
        <v>342</v>
      </c>
      <c r="I358" s="435">
        <v>636000000</v>
      </c>
      <c r="J358" s="153" t="s">
        <v>349</v>
      </c>
      <c r="K358" s="384" t="s">
        <v>936</v>
      </c>
      <c r="L358" s="412" t="s">
        <v>914</v>
      </c>
      <c r="M358" s="97"/>
      <c r="N358" s="97">
        <v>2026</v>
      </c>
      <c r="O358" s="258"/>
    </row>
    <row r="359" spans="2:15" customFormat="1">
      <c r="B359" s="104"/>
      <c r="C359" s="96" t="s">
        <v>411</v>
      </c>
      <c r="D359" s="378" t="e" cm="1">
        <f t="array" aca="1" ref="D35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59" s="99" t="s">
        <v>939</v>
      </c>
      <c r="F359" s="104" t="s">
        <v>352</v>
      </c>
      <c r="G359" s="99" t="s">
        <v>891</v>
      </c>
      <c r="H359" s="426" t="s">
        <v>342</v>
      </c>
      <c r="I359" s="435">
        <v>624000000</v>
      </c>
      <c r="J359" s="153" t="s">
        <v>349</v>
      </c>
      <c r="K359" s="384" t="s">
        <v>936</v>
      </c>
      <c r="L359" s="412" t="s">
        <v>914</v>
      </c>
      <c r="M359" s="97"/>
      <c r="N359" s="97">
        <v>2026</v>
      </c>
      <c r="O359" s="258"/>
    </row>
    <row r="360" spans="2:15" customFormat="1">
      <c r="B360" s="104"/>
      <c r="C360" s="96" t="s">
        <v>411</v>
      </c>
      <c r="D360" s="378" t="e" cm="1">
        <f t="array" aca="1" ref="D36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60" s="99" t="s">
        <v>940</v>
      </c>
      <c r="F360" s="104" t="s">
        <v>352</v>
      </c>
      <c r="G360" s="99" t="s">
        <v>891</v>
      </c>
      <c r="H360" s="426" t="s">
        <v>348</v>
      </c>
      <c r="I360" s="435">
        <v>144000000</v>
      </c>
      <c r="J360" s="153" t="s">
        <v>349</v>
      </c>
      <c r="K360" s="384" t="s">
        <v>936</v>
      </c>
      <c r="L360" s="412" t="s">
        <v>914</v>
      </c>
      <c r="M360" s="97"/>
      <c r="N360" s="97">
        <v>2026</v>
      </c>
      <c r="O360" s="258"/>
    </row>
    <row r="361" spans="2:15" customFormat="1">
      <c r="B361" s="104"/>
      <c r="C361" s="96" t="s">
        <v>564</v>
      </c>
      <c r="D361" s="378" t="e" cm="1">
        <f t="array" aca="1" ref="D36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61" s="99" t="s">
        <v>922</v>
      </c>
      <c r="F361" s="104" t="s">
        <v>352</v>
      </c>
      <c r="G361" s="99" t="s">
        <v>891</v>
      </c>
      <c r="H361" s="426" t="s">
        <v>351</v>
      </c>
      <c r="I361" s="435">
        <v>719045250</v>
      </c>
      <c r="J361" s="153" t="s">
        <v>346</v>
      </c>
      <c r="K361" s="384" t="s">
        <v>941</v>
      </c>
      <c r="L361" s="412" t="s">
        <v>922</v>
      </c>
      <c r="M361" s="97"/>
      <c r="N361" s="97">
        <v>2026</v>
      </c>
      <c r="O361" s="258"/>
    </row>
    <row r="362" spans="2:15" customFormat="1">
      <c r="B362" s="104"/>
      <c r="C362" s="383" t="s">
        <v>373</v>
      </c>
      <c r="D362" s="378" t="e" cm="1">
        <f t="array" aca="1" ref="D36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62" s="99" t="s">
        <v>942</v>
      </c>
      <c r="F362" s="104" t="s">
        <v>352</v>
      </c>
      <c r="G362" s="99" t="s">
        <v>883</v>
      </c>
      <c r="H362" s="425" t="s">
        <v>342</v>
      </c>
      <c r="I362" s="435">
        <f>1216.96*16000</f>
        <v>19471360</v>
      </c>
      <c r="J362" s="105" t="s">
        <v>349</v>
      </c>
      <c r="K362" s="453" t="s">
        <v>943</v>
      </c>
      <c r="L362" s="454" t="s">
        <v>858</v>
      </c>
      <c r="M362" s="97"/>
      <c r="N362" s="97">
        <v>2026</v>
      </c>
      <c r="O362" s="258"/>
    </row>
    <row r="363" spans="2:15" customFormat="1">
      <c r="B363" s="104"/>
      <c r="C363" s="383" t="s">
        <v>373</v>
      </c>
      <c r="D363" s="378" t="e" cm="1">
        <f t="array" aca="1" ref="D36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63" s="99" t="s">
        <v>942</v>
      </c>
      <c r="F363" s="104" t="s">
        <v>352</v>
      </c>
      <c r="G363" s="99" t="s">
        <v>883</v>
      </c>
      <c r="H363" s="425" t="s">
        <v>345</v>
      </c>
      <c r="I363" s="435">
        <f>1216.97*16000</f>
        <v>19471520</v>
      </c>
      <c r="J363" s="105" t="s">
        <v>349</v>
      </c>
      <c r="K363" s="453" t="s">
        <v>943</v>
      </c>
      <c r="L363" s="454" t="s">
        <v>858</v>
      </c>
      <c r="M363" s="97"/>
      <c r="N363" s="97">
        <v>2026</v>
      </c>
      <c r="O363" s="258"/>
    </row>
    <row r="364" spans="2:15" customFormat="1">
      <c r="B364" s="104"/>
      <c r="C364" s="383" t="s">
        <v>373</v>
      </c>
      <c r="D364" s="378" t="e" cm="1">
        <f t="array" aca="1" ref="D36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64" s="99" t="s">
        <v>942</v>
      </c>
      <c r="F364" s="104" t="s">
        <v>352</v>
      </c>
      <c r="G364" s="99" t="s">
        <v>894</v>
      </c>
      <c r="H364" s="426" t="s">
        <v>348</v>
      </c>
      <c r="I364" s="395">
        <v>20001656</v>
      </c>
      <c r="J364" s="105" t="s">
        <v>349</v>
      </c>
      <c r="K364" s="453" t="s">
        <v>943</v>
      </c>
      <c r="L364" s="454" t="s">
        <v>858</v>
      </c>
      <c r="M364" s="97"/>
      <c r="N364" s="97">
        <v>2026</v>
      </c>
      <c r="O364" s="258"/>
    </row>
    <row r="365" spans="2:15" customFormat="1">
      <c r="B365" s="104"/>
      <c r="C365" s="383" t="s">
        <v>143</v>
      </c>
      <c r="D365" s="378" t="e" cm="1">
        <f t="array" aca="1" ref="D36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65" s="99" t="s">
        <v>944</v>
      </c>
      <c r="F365" s="104" t="s">
        <v>352</v>
      </c>
      <c r="G365" s="99" t="s">
        <v>883</v>
      </c>
      <c r="H365" s="426" t="s">
        <v>342</v>
      </c>
      <c r="I365" s="395">
        <v>98976743</v>
      </c>
      <c r="J365" s="105" t="s">
        <v>349</v>
      </c>
      <c r="K365" s="96" t="s">
        <v>945</v>
      </c>
      <c r="L365" s="99" t="s">
        <v>858</v>
      </c>
      <c r="M365" s="450" t="s">
        <v>946</v>
      </c>
      <c r="N365" s="97">
        <v>2026</v>
      </c>
      <c r="O365" s="258"/>
    </row>
    <row r="366" spans="2:15" customFormat="1">
      <c r="B366" s="104"/>
      <c r="C366" s="383" t="s">
        <v>143</v>
      </c>
      <c r="D366" s="378" t="e" cm="1">
        <f t="array" aca="1" ref="D36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66" s="99" t="s">
        <v>944</v>
      </c>
      <c r="F366" s="104" t="s">
        <v>352</v>
      </c>
      <c r="G366" s="99" t="s">
        <v>883</v>
      </c>
      <c r="H366" s="425" t="s">
        <v>345</v>
      </c>
      <c r="I366" s="395">
        <v>98976743</v>
      </c>
      <c r="J366" s="105" t="s">
        <v>349</v>
      </c>
      <c r="K366" s="96" t="s">
        <v>945</v>
      </c>
      <c r="L366" s="99" t="s">
        <v>858</v>
      </c>
      <c r="M366" s="97"/>
      <c r="N366" s="97">
        <v>2026</v>
      </c>
      <c r="O366" s="258"/>
    </row>
    <row r="367" spans="2:15" customFormat="1">
      <c r="B367" s="104"/>
      <c r="C367" s="383" t="s">
        <v>530</v>
      </c>
      <c r="D367" s="378" t="e" cm="1">
        <f t="array" aca="1" ref="D36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67" s="56" t="s">
        <v>947</v>
      </c>
      <c r="F367" s="104" t="s">
        <v>352</v>
      </c>
      <c r="G367" s="99" t="s">
        <v>883</v>
      </c>
      <c r="H367" s="425"/>
      <c r="I367" s="395">
        <v>98976743</v>
      </c>
      <c r="J367" s="105" t="s">
        <v>349</v>
      </c>
      <c r="K367" s="96" t="s">
        <v>945</v>
      </c>
      <c r="L367" s="99" t="s">
        <v>858</v>
      </c>
      <c r="M367" s="97"/>
      <c r="N367" s="97">
        <v>2026</v>
      </c>
      <c r="O367" s="258"/>
    </row>
    <row r="368" spans="2:15" customFormat="1">
      <c r="B368" s="104"/>
      <c r="C368" s="96" t="s">
        <v>415</v>
      </c>
      <c r="D368" s="378" t="e" cm="1">
        <f t="array" aca="1" ref="D36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68" s="99" t="s">
        <v>885</v>
      </c>
      <c r="F368" s="104" t="s">
        <v>352</v>
      </c>
      <c r="G368" s="99" t="s">
        <v>883</v>
      </c>
      <c r="H368" s="425" t="s">
        <v>342</v>
      </c>
      <c r="I368" s="395">
        <v>3714060</v>
      </c>
      <c r="J368" s="105" t="s">
        <v>349</v>
      </c>
      <c r="K368" s="453" t="s">
        <v>948</v>
      </c>
      <c r="L368" s="454" t="s">
        <v>858</v>
      </c>
      <c r="M368" s="97"/>
      <c r="N368" s="97">
        <v>2026</v>
      </c>
      <c r="O368" s="258"/>
    </row>
    <row r="369" spans="2:15" customFormat="1">
      <c r="B369" s="104"/>
      <c r="C369" s="96" t="s">
        <v>415</v>
      </c>
      <c r="D369" s="378" t="e" cm="1">
        <f t="array" aca="1" ref="D36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69" s="99" t="s">
        <v>885</v>
      </c>
      <c r="F369" s="104" t="s">
        <v>352</v>
      </c>
      <c r="G369" s="99" t="s">
        <v>883</v>
      </c>
      <c r="H369" s="425" t="s">
        <v>345</v>
      </c>
      <c r="I369" s="395">
        <v>3714060</v>
      </c>
      <c r="J369" s="105" t="s">
        <v>349</v>
      </c>
      <c r="K369" s="453" t="s">
        <v>948</v>
      </c>
      <c r="L369" s="454" t="s">
        <v>858</v>
      </c>
      <c r="M369" s="97"/>
      <c r="N369" s="97">
        <v>2026</v>
      </c>
      <c r="O369" s="258"/>
    </row>
    <row r="370" spans="2:15" customFormat="1">
      <c r="B370" s="104"/>
      <c r="C370" s="96" t="s">
        <v>415</v>
      </c>
      <c r="D370" s="378" t="e" cm="1">
        <f t="array" aca="1" ref="D37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70" s="99" t="s">
        <v>885</v>
      </c>
      <c r="F370" s="104" t="s">
        <v>352</v>
      </c>
      <c r="G370" s="99" t="s">
        <v>883</v>
      </c>
      <c r="H370" s="425" t="s">
        <v>348</v>
      </c>
      <c r="I370" s="395">
        <v>3714060</v>
      </c>
      <c r="J370" s="105" t="s">
        <v>346</v>
      </c>
      <c r="K370" s="453" t="s">
        <v>948</v>
      </c>
      <c r="L370" s="454" t="s">
        <v>858</v>
      </c>
      <c r="M370" s="97"/>
      <c r="N370" s="97">
        <v>2026</v>
      </c>
      <c r="O370" s="258"/>
    </row>
    <row r="371" spans="2:15" customFormat="1">
      <c r="B371" s="104"/>
      <c r="C371" s="96" t="s">
        <v>567</v>
      </c>
      <c r="D371" s="378" t="e" cm="1">
        <f t="array" aca="1" ref="D37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71" s="99" t="s">
        <v>949</v>
      </c>
      <c r="F371" s="104" t="s">
        <v>352</v>
      </c>
      <c r="G371" s="99" t="s">
        <v>883</v>
      </c>
      <c r="H371" s="425" t="s">
        <v>342</v>
      </c>
      <c r="I371" s="395">
        <v>310104960</v>
      </c>
      <c r="J371" s="105" t="s">
        <v>349</v>
      </c>
      <c r="K371" s="96" t="s">
        <v>945</v>
      </c>
      <c r="L371" s="99" t="s">
        <v>922</v>
      </c>
      <c r="M371" s="97"/>
      <c r="N371" s="97">
        <v>2026</v>
      </c>
      <c r="O371" s="258"/>
    </row>
    <row r="372" spans="2:15" customFormat="1">
      <c r="B372" s="375"/>
      <c r="C372" s="396" t="s">
        <v>224</v>
      </c>
      <c r="D372" s="378" t="e" cm="1">
        <f t="array" aca="1" ref="D37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72" s="401" t="s">
        <v>950</v>
      </c>
      <c r="F372" s="375" t="s">
        <v>352</v>
      </c>
      <c r="G372" s="401" t="s">
        <v>883</v>
      </c>
      <c r="H372" s="430" t="s">
        <v>342</v>
      </c>
      <c r="I372" s="402">
        <v>16350000</v>
      </c>
      <c r="J372" s="376" t="s">
        <v>349</v>
      </c>
      <c r="K372" s="396" t="s">
        <v>951</v>
      </c>
      <c r="L372" s="401" t="s">
        <v>858</v>
      </c>
      <c r="M372" s="455" t="s">
        <v>952</v>
      </c>
      <c r="N372" s="97">
        <v>2026</v>
      </c>
      <c r="O372" s="258"/>
    </row>
    <row r="373" spans="2:15" customFormat="1">
      <c r="B373" s="375"/>
      <c r="C373" s="396" t="s">
        <v>224</v>
      </c>
      <c r="D373" s="378" t="e" cm="1">
        <f t="array" aca="1" ref="D37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73" s="401" t="s">
        <v>950</v>
      </c>
      <c r="F373" s="375" t="s">
        <v>352</v>
      </c>
      <c r="G373" s="401" t="s">
        <v>883</v>
      </c>
      <c r="H373" s="430" t="s">
        <v>345</v>
      </c>
      <c r="I373" s="402">
        <v>16350000</v>
      </c>
      <c r="J373" s="376" t="s">
        <v>349</v>
      </c>
      <c r="K373" s="396" t="s">
        <v>951</v>
      </c>
      <c r="L373" s="401" t="s">
        <v>858</v>
      </c>
      <c r="M373" s="455" t="s">
        <v>953</v>
      </c>
      <c r="N373" s="97">
        <v>2026</v>
      </c>
      <c r="O373" s="258"/>
    </row>
    <row r="374" spans="2:15" customFormat="1">
      <c r="B374" s="375"/>
      <c r="C374" s="396" t="s">
        <v>224</v>
      </c>
      <c r="D374" s="378" t="e" cm="1">
        <f t="array" aca="1" ref="D37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74" s="401" t="s">
        <v>950</v>
      </c>
      <c r="F374" s="375" t="s">
        <v>352</v>
      </c>
      <c r="G374" s="401" t="s">
        <v>883</v>
      </c>
      <c r="H374" s="430" t="s">
        <v>348</v>
      </c>
      <c r="I374" s="402">
        <v>16350000</v>
      </c>
      <c r="J374" s="376" t="s">
        <v>349</v>
      </c>
      <c r="K374" s="396" t="s">
        <v>951</v>
      </c>
      <c r="L374" s="401" t="s">
        <v>858</v>
      </c>
      <c r="M374" s="455" t="s">
        <v>954</v>
      </c>
      <c r="N374" s="97">
        <v>2026</v>
      </c>
      <c r="O374" s="258"/>
    </row>
    <row r="375" spans="2:15" customFormat="1">
      <c r="B375" s="104"/>
      <c r="C375" s="96" t="s">
        <v>373</v>
      </c>
      <c r="D375" s="378" t="e" cm="1">
        <f t="array" aca="1" ref="D37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75" s="99" t="s">
        <v>955</v>
      </c>
      <c r="F375" s="104" t="s">
        <v>352</v>
      </c>
      <c r="G375" s="99" t="s">
        <v>883</v>
      </c>
      <c r="H375" s="425" t="s">
        <v>342</v>
      </c>
      <c r="I375" s="395">
        <v>2157285</v>
      </c>
      <c r="J375" s="105" t="s">
        <v>349</v>
      </c>
      <c r="K375" s="96" t="s">
        <v>886</v>
      </c>
      <c r="L375" s="99" t="s">
        <v>858</v>
      </c>
      <c r="M375" s="97"/>
      <c r="N375" s="97">
        <v>2026</v>
      </c>
      <c r="O375" s="258"/>
    </row>
    <row r="376" spans="2:15" customFormat="1">
      <c r="B376" s="104"/>
      <c r="C376" s="96" t="s">
        <v>373</v>
      </c>
      <c r="D376" s="378" t="e" cm="1">
        <f t="array" aca="1" ref="D37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76" s="99" t="s">
        <v>955</v>
      </c>
      <c r="F376" s="104" t="s">
        <v>352</v>
      </c>
      <c r="G376" s="99" t="s">
        <v>883</v>
      </c>
      <c r="H376" s="425" t="s">
        <v>345</v>
      </c>
      <c r="I376" s="395">
        <v>2157285</v>
      </c>
      <c r="J376" s="105" t="s">
        <v>349</v>
      </c>
      <c r="K376" s="96" t="s">
        <v>886</v>
      </c>
      <c r="L376" s="99" t="s">
        <v>858</v>
      </c>
      <c r="M376" s="97"/>
      <c r="N376" s="97">
        <v>2026</v>
      </c>
      <c r="O376" s="258"/>
    </row>
    <row r="377" spans="2:15" customFormat="1">
      <c r="B377" s="104"/>
      <c r="C377" s="96" t="s">
        <v>373</v>
      </c>
      <c r="D377" s="378" t="e" cm="1">
        <f t="array" aca="1" ref="D37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77" s="99" t="s">
        <v>955</v>
      </c>
      <c r="F377" s="104" t="s">
        <v>352</v>
      </c>
      <c r="G377" s="99" t="s">
        <v>883</v>
      </c>
      <c r="H377" s="425" t="s">
        <v>348</v>
      </c>
      <c r="I377" s="395">
        <v>2157285</v>
      </c>
      <c r="J377" s="105" t="s">
        <v>349</v>
      </c>
      <c r="K377" s="96" t="s">
        <v>886</v>
      </c>
      <c r="L377" s="99" t="s">
        <v>858</v>
      </c>
      <c r="M377" s="97"/>
      <c r="N377" s="97">
        <v>2026</v>
      </c>
      <c r="O377" s="258"/>
    </row>
    <row r="378" spans="2:15" customFormat="1">
      <c r="B378" s="104"/>
      <c r="C378" s="96" t="s">
        <v>624</v>
      </c>
      <c r="D378" s="378" t="e" cm="1">
        <f t="array" aca="1" ref="D37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78" s="99" t="s">
        <v>944</v>
      </c>
      <c r="F378" s="104" t="s">
        <v>352</v>
      </c>
      <c r="G378" s="99" t="s">
        <v>883</v>
      </c>
      <c r="H378" s="425" t="s">
        <v>342</v>
      </c>
      <c r="I378" s="395">
        <v>125531678</v>
      </c>
      <c r="J378" s="105" t="s">
        <v>349</v>
      </c>
      <c r="K378" s="96" t="s">
        <v>945</v>
      </c>
      <c r="L378" s="99" t="s">
        <v>858</v>
      </c>
      <c r="M378" s="97"/>
      <c r="N378" s="97">
        <v>2026</v>
      </c>
      <c r="O378" s="258"/>
    </row>
    <row r="379" spans="2:15" customFormat="1">
      <c r="B379" s="104"/>
      <c r="C379" s="96" t="s">
        <v>555</v>
      </c>
      <c r="D379" s="378" t="e" cm="1">
        <f t="array" aca="1" ref="D37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79" s="397" t="s">
        <v>956</v>
      </c>
      <c r="F379" s="104" t="s">
        <v>352</v>
      </c>
      <c r="G379" s="99" t="s">
        <v>883</v>
      </c>
      <c r="H379" s="425" t="s">
        <v>351</v>
      </c>
      <c r="I379" s="395">
        <v>6000000</v>
      </c>
      <c r="J379" s="336" t="s">
        <v>957</v>
      </c>
      <c r="K379" s="96" t="s">
        <v>958</v>
      </c>
      <c r="L379" s="99" t="s">
        <v>860</v>
      </c>
      <c r="M379" s="97"/>
      <c r="N379" s="97">
        <v>2026</v>
      </c>
      <c r="O379" s="258"/>
    </row>
    <row r="380" spans="2:15" customFormat="1">
      <c r="B380" s="104"/>
      <c r="C380" s="96" t="s">
        <v>555</v>
      </c>
      <c r="D380" s="378" t="e" cm="1">
        <f t="array" aca="1" ref="D38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80" s="99" t="s">
        <v>959</v>
      </c>
      <c r="F380" s="104" t="s">
        <v>352</v>
      </c>
      <c r="G380" s="99" t="s">
        <v>891</v>
      </c>
      <c r="H380" s="426" t="s">
        <v>342</v>
      </c>
      <c r="I380" s="395">
        <v>30700000</v>
      </c>
      <c r="J380" s="153" t="s">
        <v>349</v>
      </c>
      <c r="K380" s="96" t="s">
        <v>886</v>
      </c>
      <c r="L380" s="99" t="s">
        <v>858</v>
      </c>
      <c r="M380" s="97"/>
      <c r="N380" s="97">
        <v>2026</v>
      </c>
      <c r="O380" s="258"/>
    </row>
    <row r="381" spans="2:15" customFormat="1">
      <c r="B381" s="104"/>
      <c r="C381" s="96" t="s">
        <v>555</v>
      </c>
      <c r="D381" s="378" t="e" cm="1">
        <f t="array" aca="1" ref="D38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81" s="99" t="s">
        <v>959</v>
      </c>
      <c r="F381" s="104" t="s">
        <v>352</v>
      </c>
      <c r="G381" s="99" t="s">
        <v>891</v>
      </c>
      <c r="H381" s="426" t="s">
        <v>345</v>
      </c>
      <c r="I381" s="395">
        <v>30700000</v>
      </c>
      <c r="J381" s="153" t="s">
        <v>349</v>
      </c>
      <c r="K381" s="96" t="s">
        <v>886</v>
      </c>
      <c r="L381" s="99" t="s">
        <v>858</v>
      </c>
      <c r="M381" s="97"/>
      <c r="N381" s="97">
        <v>2026</v>
      </c>
      <c r="O381" s="258"/>
    </row>
    <row r="382" spans="2:15" customFormat="1">
      <c r="B382" s="104"/>
      <c r="C382" s="96" t="s">
        <v>555</v>
      </c>
      <c r="D382" s="378" t="e" cm="1">
        <f t="array" aca="1" ref="D38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82" s="99" t="s">
        <v>959</v>
      </c>
      <c r="F382" s="104" t="s">
        <v>352</v>
      </c>
      <c r="G382" s="99" t="s">
        <v>891</v>
      </c>
      <c r="H382" s="426" t="s">
        <v>348</v>
      </c>
      <c r="I382" s="395">
        <v>30700000</v>
      </c>
      <c r="J382" s="153" t="s">
        <v>349</v>
      </c>
      <c r="K382" s="96" t="s">
        <v>886</v>
      </c>
      <c r="L382" s="99" t="s">
        <v>858</v>
      </c>
      <c r="M382" s="97"/>
      <c r="N382" s="97">
        <v>2026</v>
      </c>
      <c r="O382" s="258"/>
    </row>
    <row r="383" spans="2:15" customFormat="1">
      <c r="B383" s="104"/>
      <c r="C383" s="96" t="s">
        <v>555</v>
      </c>
      <c r="D383" s="378" t="e" cm="1">
        <f t="array" aca="1" ref="D38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83" s="99" t="s">
        <v>959</v>
      </c>
      <c r="F383" s="104" t="s">
        <v>352</v>
      </c>
      <c r="G383" s="99" t="s">
        <v>891</v>
      </c>
      <c r="H383" s="426" t="s">
        <v>351</v>
      </c>
      <c r="I383" s="395">
        <v>30700000</v>
      </c>
      <c r="J383" s="153" t="s">
        <v>349</v>
      </c>
      <c r="K383" s="96" t="s">
        <v>886</v>
      </c>
      <c r="L383" s="99" t="s">
        <v>858</v>
      </c>
      <c r="M383" s="97"/>
      <c r="N383" s="97">
        <v>2026</v>
      </c>
      <c r="O383" s="258"/>
    </row>
    <row r="384" spans="2:15" customFormat="1">
      <c r="B384" s="59"/>
      <c r="C384" s="59" t="s">
        <v>555</v>
      </c>
      <c r="D384" s="218" t="e" cm="1">
        <f t="array" aca="1" ref="D38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84" s="9" t="s">
        <v>959</v>
      </c>
      <c r="F384" s="59" t="s">
        <v>352</v>
      </c>
      <c r="G384" s="56" t="s">
        <v>891</v>
      </c>
      <c r="H384" s="488" t="s">
        <v>353</v>
      </c>
      <c r="I384" s="279">
        <v>30700000</v>
      </c>
      <c r="J384" s="33" t="s">
        <v>349</v>
      </c>
      <c r="K384" s="62" t="s">
        <v>886</v>
      </c>
      <c r="L384" s="9" t="s">
        <v>858</v>
      </c>
      <c r="M384" s="10"/>
      <c r="N384" s="51"/>
      <c r="O384" s="258"/>
    </row>
    <row r="385" spans="2:15" customFormat="1">
      <c r="B385" s="59"/>
      <c r="C385" s="59" t="s">
        <v>555</v>
      </c>
      <c r="D385" s="218" t="e" cm="1">
        <f t="array" aca="1" ref="D38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85" s="9" t="s">
        <v>959</v>
      </c>
      <c r="F385" s="59" t="s">
        <v>352</v>
      </c>
      <c r="G385" s="56" t="s">
        <v>891</v>
      </c>
      <c r="H385" s="488" t="s">
        <v>355</v>
      </c>
      <c r="I385" s="279">
        <v>30700000</v>
      </c>
      <c r="J385" s="33" t="s">
        <v>349</v>
      </c>
      <c r="K385" s="62" t="s">
        <v>886</v>
      </c>
      <c r="L385" s="9" t="s">
        <v>858</v>
      </c>
      <c r="M385" s="10"/>
      <c r="N385" s="51"/>
      <c r="O385" s="258"/>
    </row>
    <row r="386" spans="2:15" customFormat="1">
      <c r="B386" s="104"/>
      <c r="C386" s="96" t="s">
        <v>614</v>
      </c>
      <c r="D386" s="378" t="e" cm="1">
        <f t="array" aca="1" ref="D38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86" s="99" t="s">
        <v>910</v>
      </c>
      <c r="F386" s="104" t="s">
        <v>352</v>
      </c>
      <c r="G386" s="99" t="s">
        <v>894</v>
      </c>
      <c r="H386" s="426" t="s">
        <v>351</v>
      </c>
      <c r="I386" s="395">
        <v>2156088</v>
      </c>
      <c r="J386" s="153" t="s">
        <v>349</v>
      </c>
      <c r="K386" s="96" t="s">
        <v>911</v>
      </c>
      <c r="L386" s="99" t="s">
        <v>858</v>
      </c>
      <c r="M386" s="97"/>
      <c r="N386" s="97">
        <v>2026</v>
      </c>
      <c r="O386" s="258"/>
    </row>
    <row r="387" spans="2:15" customFormat="1">
      <c r="B387" s="104"/>
      <c r="C387" s="96" t="s">
        <v>614</v>
      </c>
      <c r="D387" s="378" t="e" cm="1">
        <f t="array" aca="1" ref="D38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87" s="99" t="s">
        <v>910</v>
      </c>
      <c r="F387" s="104" t="s">
        <v>352</v>
      </c>
      <c r="G387" s="99" t="s">
        <v>891</v>
      </c>
      <c r="H387" s="426" t="s">
        <v>353</v>
      </c>
      <c r="I387" s="395">
        <v>2410448</v>
      </c>
      <c r="J387" s="153" t="s">
        <v>349</v>
      </c>
      <c r="K387" s="96" t="s">
        <v>911</v>
      </c>
      <c r="L387" s="99" t="s">
        <v>858</v>
      </c>
      <c r="M387" s="97"/>
      <c r="N387" s="97">
        <v>2026</v>
      </c>
      <c r="O387" s="258"/>
    </row>
    <row r="388" spans="2:15" customFormat="1">
      <c r="B388" s="104"/>
      <c r="C388" s="96" t="s">
        <v>534</v>
      </c>
      <c r="D388" s="378" t="e" cm="1">
        <f t="array" aca="1" ref="D38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88" s="99" t="s">
        <v>960</v>
      </c>
      <c r="F388" s="104" t="s">
        <v>352</v>
      </c>
      <c r="G388" s="99" t="s">
        <v>891</v>
      </c>
      <c r="H388" s="426" t="s">
        <v>345</v>
      </c>
      <c r="I388" s="395">
        <v>2160000</v>
      </c>
      <c r="J388" s="153" t="s">
        <v>349</v>
      </c>
      <c r="K388" s="96" t="s">
        <v>961</v>
      </c>
      <c r="L388" s="99" t="s">
        <v>860</v>
      </c>
      <c r="M388" s="97"/>
      <c r="N388" s="97">
        <v>2026</v>
      </c>
      <c r="O388" s="258"/>
    </row>
    <row r="389" spans="2:15" customFormat="1">
      <c r="B389" s="104"/>
      <c r="C389" s="96" t="s">
        <v>562</v>
      </c>
      <c r="D389" s="378" t="e" cm="1">
        <f t="array" aca="1" ref="D38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89" s="99" t="s">
        <v>962</v>
      </c>
      <c r="F389" s="104" t="s">
        <v>352</v>
      </c>
      <c r="G389" s="99" t="s">
        <v>891</v>
      </c>
      <c r="H389" s="426" t="s">
        <v>351</v>
      </c>
      <c r="I389" s="395">
        <v>741774300</v>
      </c>
      <c r="J389" s="153" t="s">
        <v>346</v>
      </c>
      <c r="K389" s="96" t="s">
        <v>963</v>
      </c>
      <c r="L389" s="406" t="s">
        <v>860</v>
      </c>
      <c r="M389" s="97"/>
      <c r="N389" s="97">
        <v>2026</v>
      </c>
      <c r="O389" s="258"/>
    </row>
    <row r="390" spans="2:15" customFormat="1">
      <c r="B390" s="104"/>
      <c r="C390" s="96" t="s">
        <v>373</v>
      </c>
      <c r="D390" s="378" t="e" cm="1">
        <f t="array" aca="1" ref="D39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90" s="99" t="s">
        <v>964</v>
      </c>
      <c r="F390" s="104" t="s">
        <v>352</v>
      </c>
      <c r="G390" s="99" t="s">
        <v>891</v>
      </c>
      <c r="H390" s="426" t="s">
        <v>351</v>
      </c>
      <c r="I390" s="395">
        <v>168500000</v>
      </c>
      <c r="J390" s="153" t="s">
        <v>349</v>
      </c>
      <c r="K390" s="96" t="s">
        <v>965</v>
      </c>
      <c r="L390" s="99" t="s">
        <v>860</v>
      </c>
      <c r="M390" s="450" t="s">
        <v>966</v>
      </c>
      <c r="N390" s="97">
        <v>2026</v>
      </c>
      <c r="O390" s="258"/>
    </row>
    <row r="391" spans="2:15" customFormat="1">
      <c r="B391" s="104"/>
      <c r="C391" s="96" t="s">
        <v>373</v>
      </c>
      <c r="D391" s="378" t="e" cm="1">
        <f t="array" aca="1" ref="D39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91" s="99" t="s">
        <v>967</v>
      </c>
      <c r="F391" s="104" t="s">
        <v>352</v>
      </c>
      <c r="G391" s="99" t="s">
        <v>891</v>
      </c>
      <c r="H391" s="426" t="s">
        <v>348</v>
      </c>
      <c r="I391" s="395">
        <v>30000000</v>
      </c>
      <c r="J391" s="153" t="s">
        <v>346</v>
      </c>
      <c r="K391" s="96" t="s">
        <v>968</v>
      </c>
      <c r="L391" s="99" t="s">
        <v>860</v>
      </c>
      <c r="M391" s="97"/>
      <c r="N391" s="97">
        <v>2026</v>
      </c>
      <c r="O391" s="258"/>
    </row>
    <row r="392" spans="2:15" customFormat="1">
      <c r="B392" s="104"/>
      <c r="C392" s="96" t="s">
        <v>411</v>
      </c>
      <c r="D392" s="378" t="e" cm="1">
        <f t="array" aca="1" ref="D39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92" s="99" t="s">
        <v>969</v>
      </c>
      <c r="F392" s="104" t="s">
        <v>352</v>
      </c>
      <c r="G392" s="99" t="s">
        <v>891</v>
      </c>
      <c r="H392" s="426" t="s">
        <v>351</v>
      </c>
      <c r="I392" s="395">
        <v>11500000</v>
      </c>
      <c r="J392" s="153" t="s">
        <v>346</v>
      </c>
      <c r="K392" s="96" t="s">
        <v>970</v>
      </c>
      <c r="L392" s="99" t="s">
        <v>860</v>
      </c>
      <c r="M392" s="97"/>
      <c r="N392" s="97">
        <v>2026</v>
      </c>
      <c r="O392" s="258"/>
    </row>
    <row r="393" spans="2:15" customFormat="1">
      <c r="B393" s="104"/>
      <c r="C393" s="96" t="s">
        <v>411</v>
      </c>
      <c r="D393" s="378" t="e" cm="1">
        <f t="array" aca="1" ref="D39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93" s="99" t="s">
        <v>971</v>
      </c>
      <c r="F393" s="104" t="s">
        <v>352</v>
      </c>
      <c r="G393" s="99" t="s">
        <v>891</v>
      </c>
      <c r="H393" s="426" t="s">
        <v>351</v>
      </c>
      <c r="I393" s="395">
        <v>11500000</v>
      </c>
      <c r="J393" s="153" t="s">
        <v>349</v>
      </c>
      <c r="K393" s="96" t="s">
        <v>970</v>
      </c>
      <c r="L393" s="99" t="s">
        <v>860</v>
      </c>
      <c r="M393" s="97"/>
      <c r="N393" s="97">
        <v>2026</v>
      </c>
      <c r="O393" s="258"/>
    </row>
    <row r="394" spans="2:15" customFormat="1">
      <c r="B394" s="104"/>
      <c r="C394" s="96" t="s">
        <v>373</v>
      </c>
      <c r="D394" s="378" t="e" cm="1">
        <f t="array" aca="1" ref="D39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94" s="99" t="s">
        <v>932</v>
      </c>
      <c r="F394" s="104" t="s">
        <v>352</v>
      </c>
      <c r="G394" s="99" t="s">
        <v>894</v>
      </c>
      <c r="H394" s="426" t="s">
        <v>351</v>
      </c>
      <c r="I394" s="402">
        <v>4250000</v>
      </c>
      <c r="J394" s="153" t="s">
        <v>349</v>
      </c>
      <c r="K394" s="96" t="s">
        <v>924</v>
      </c>
      <c r="L394" s="99" t="s">
        <v>860</v>
      </c>
      <c r="M394" s="97"/>
      <c r="N394" s="97">
        <v>2026</v>
      </c>
      <c r="O394" s="258"/>
    </row>
    <row r="395" spans="2:15" customFormat="1">
      <c r="B395" s="104"/>
      <c r="C395" s="96" t="s">
        <v>373</v>
      </c>
      <c r="D395" s="378" t="e" cm="1">
        <f t="array" aca="1" ref="D39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95" s="99" t="s">
        <v>931</v>
      </c>
      <c r="F395" s="104" t="s">
        <v>352</v>
      </c>
      <c r="G395" s="99" t="s">
        <v>891</v>
      </c>
      <c r="H395" s="426" t="s">
        <v>351</v>
      </c>
      <c r="I395" s="395">
        <f>805500+1109000</f>
        <v>1914500</v>
      </c>
      <c r="J395" s="153" t="s">
        <v>349</v>
      </c>
      <c r="K395" s="96" t="s">
        <v>924</v>
      </c>
      <c r="L395" s="99" t="s">
        <v>860</v>
      </c>
      <c r="M395" s="97"/>
      <c r="N395" s="97">
        <v>2026</v>
      </c>
      <c r="O395" s="258"/>
    </row>
    <row r="396" spans="2:15" customFormat="1">
      <c r="B396" s="104"/>
      <c r="C396" s="96" t="s">
        <v>373</v>
      </c>
      <c r="D396" s="378" t="e" cm="1">
        <f t="array" aca="1" ref="D39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96" s="99" t="s">
        <v>923</v>
      </c>
      <c r="F396" s="104" t="s">
        <v>352</v>
      </c>
      <c r="G396" s="99" t="s">
        <v>891</v>
      </c>
      <c r="H396" s="426" t="s">
        <v>351</v>
      </c>
      <c r="I396" s="402">
        <v>1755000</v>
      </c>
      <c r="J396" s="153" t="s">
        <v>349</v>
      </c>
      <c r="K396" s="96" t="s">
        <v>924</v>
      </c>
      <c r="L396" s="99" t="s">
        <v>860</v>
      </c>
      <c r="M396" s="97"/>
      <c r="N396" s="97">
        <v>2026</v>
      </c>
      <c r="O396" s="258"/>
    </row>
    <row r="397" spans="2:15" customFormat="1">
      <c r="B397" s="104"/>
      <c r="C397" s="96" t="s">
        <v>413</v>
      </c>
      <c r="D397" s="378" t="e" cm="1">
        <f t="array" aca="1" ref="D39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97" s="99" t="s">
        <v>928</v>
      </c>
      <c r="F397" s="104" t="s">
        <v>352</v>
      </c>
      <c r="G397" s="99" t="s">
        <v>891</v>
      </c>
      <c r="H397" s="426" t="s">
        <v>351</v>
      </c>
      <c r="I397" s="402">
        <v>2542125</v>
      </c>
      <c r="J397" s="153" t="s">
        <v>349</v>
      </c>
      <c r="K397" s="96" t="s">
        <v>924</v>
      </c>
      <c r="L397" s="99" t="s">
        <v>860</v>
      </c>
      <c r="M397" s="97"/>
      <c r="N397" s="97">
        <v>2026</v>
      </c>
      <c r="O397" s="258"/>
    </row>
    <row r="398" spans="2:15" customFormat="1">
      <c r="B398" s="104"/>
      <c r="C398" s="96" t="s">
        <v>414</v>
      </c>
      <c r="D398" s="378" t="e" cm="1">
        <f t="array" aca="1" ref="D39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98" s="99" t="s">
        <v>929</v>
      </c>
      <c r="F398" s="104" t="s">
        <v>352</v>
      </c>
      <c r="G398" s="99" t="s">
        <v>891</v>
      </c>
      <c r="H398" s="426" t="s">
        <v>351</v>
      </c>
      <c r="I398" s="402">
        <v>800651</v>
      </c>
      <c r="J398" s="153" t="s">
        <v>349</v>
      </c>
      <c r="K398" s="96" t="s">
        <v>924</v>
      </c>
      <c r="L398" s="99" t="s">
        <v>860</v>
      </c>
      <c r="M398" s="97"/>
      <c r="N398" s="97">
        <v>2026</v>
      </c>
      <c r="O398" s="258"/>
    </row>
    <row r="399" spans="2:15" customFormat="1">
      <c r="B399" s="104"/>
      <c r="C399" s="96" t="s">
        <v>411</v>
      </c>
      <c r="D399" s="378" t="e" cm="1">
        <f t="array" aca="1" ref="D39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399" s="99" t="s">
        <v>928</v>
      </c>
      <c r="F399" s="104" t="s">
        <v>352</v>
      </c>
      <c r="G399" s="99" t="s">
        <v>891</v>
      </c>
      <c r="H399" s="426" t="s">
        <v>351</v>
      </c>
      <c r="I399" s="402">
        <v>816251</v>
      </c>
      <c r="J399" s="153" t="s">
        <v>349</v>
      </c>
      <c r="K399" s="96" t="s">
        <v>924</v>
      </c>
      <c r="L399" s="99" t="s">
        <v>860</v>
      </c>
      <c r="M399" s="97"/>
      <c r="N399" s="97">
        <v>2026</v>
      </c>
      <c r="O399" s="258"/>
    </row>
    <row r="400" spans="2:15">
      <c r="B400" s="104"/>
      <c r="C400" s="96" t="s">
        <v>411</v>
      </c>
      <c r="D400" s="378" t="e" cm="1">
        <f t="array" aca="1" ref="D40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00" s="400" t="s">
        <v>930</v>
      </c>
      <c r="F400" s="104" t="s">
        <v>352</v>
      </c>
      <c r="G400" s="244" t="s">
        <v>891</v>
      </c>
      <c r="H400" s="426" t="s">
        <v>351</v>
      </c>
      <c r="I400" s="407">
        <v>12809051</v>
      </c>
      <c r="J400" s="153" t="s">
        <v>349</v>
      </c>
      <c r="K400" s="394" t="s">
        <v>924</v>
      </c>
      <c r="L400" s="99" t="s">
        <v>860</v>
      </c>
      <c r="M400" s="244"/>
      <c r="N400" s="97">
        <v>2026</v>
      </c>
      <c r="O400" s="496"/>
    </row>
    <row r="401" spans="2:15" customFormat="1">
      <c r="B401" s="104"/>
      <c r="C401" s="96" t="s">
        <v>373</v>
      </c>
      <c r="D401" s="378" t="e" cm="1">
        <f t="array" aca="1" ref="D40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01" s="99" t="s">
        <v>930</v>
      </c>
      <c r="F401" s="104" t="s">
        <v>352</v>
      </c>
      <c r="G401" s="99" t="s">
        <v>891</v>
      </c>
      <c r="H401" s="426" t="s">
        <v>351</v>
      </c>
      <c r="I401" s="395">
        <v>6012839</v>
      </c>
      <c r="J401" s="153" t="s">
        <v>349</v>
      </c>
      <c r="K401" s="96" t="s">
        <v>924</v>
      </c>
      <c r="L401" s="99" t="s">
        <v>860</v>
      </c>
      <c r="M401" s="97"/>
      <c r="N401" s="97">
        <v>2026</v>
      </c>
      <c r="O401" s="258"/>
    </row>
    <row r="402" spans="2:15" customFormat="1">
      <c r="B402" s="104"/>
      <c r="C402" s="96" t="s">
        <v>373</v>
      </c>
      <c r="D402" s="378" t="e" cm="1">
        <f t="array" aca="1" ref="D40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02" s="99" t="s">
        <v>926</v>
      </c>
      <c r="F402" s="104" t="s">
        <v>352</v>
      </c>
      <c r="G402" s="99" t="s">
        <v>891</v>
      </c>
      <c r="H402" s="426" t="s">
        <v>351</v>
      </c>
      <c r="I402" s="402">
        <v>102000</v>
      </c>
      <c r="J402" s="153" t="s">
        <v>349</v>
      </c>
      <c r="K402" s="96" t="s">
        <v>924</v>
      </c>
      <c r="L402" s="99" t="s">
        <v>860</v>
      </c>
      <c r="M402" s="97"/>
      <c r="N402" s="97">
        <v>2026</v>
      </c>
      <c r="O402" s="258"/>
    </row>
    <row r="403" spans="2:15" customFormat="1">
      <c r="B403" s="104"/>
      <c r="C403" s="96" t="s">
        <v>411</v>
      </c>
      <c r="D403" s="378" t="e" cm="1">
        <f t="array" aca="1" ref="D40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03" s="99" t="s">
        <v>926</v>
      </c>
      <c r="F403" s="104" t="s">
        <v>352</v>
      </c>
      <c r="G403" s="99" t="s">
        <v>891</v>
      </c>
      <c r="H403" s="426" t="s">
        <v>351</v>
      </c>
      <c r="I403" s="395">
        <v>51000</v>
      </c>
      <c r="J403" s="153" t="s">
        <v>349</v>
      </c>
      <c r="K403" s="96" t="s">
        <v>924</v>
      </c>
      <c r="L403" s="99" t="s">
        <v>860</v>
      </c>
      <c r="M403" s="97"/>
      <c r="N403" s="97">
        <v>2026</v>
      </c>
      <c r="O403" s="258"/>
    </row>
    <row r="404" spans="2:15" customFormat="1">
      <c r="B404" s="104"/>
      <c r="C404" s="96" t="s">
        <v>415</v>
      </c>
      <c r="D404" s="378" t="e" cm="1">
        <f t="array" aca="1" ref="D40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04" s="99" t="s">
        <v>926</v>
      </c>
      <c r="F404" s="104" t="s">
        <v>352</v>
      </c>
      <c r="G404" s="99" t="s">
        <v>891</v>
      </c>
      <c r="H404" s="426" t="s">
        <v>351</v>
      </c>
      <c r="I404" s="395">
        <v>324000</v>
      </c>
      <c r="J404" s="153" t="s">
        <v>349</v>
      </c>
      <c r="K404" s="96" t="s">
        <v>924</v>
      </c>
      <c r="L404" s="99" t="s">
        <v>860</v>
      </c>
      <c r="M404" s="97"/>
      <c r="N404" s="97">
        <v>2026</v>
      </c>
      <c r="O404" s="258"/>
    </row>
    <row r="405" spans="2:15" customFormat="1">
      <c r="B405" s="104"/>
      <c r="C405" s="96" t="s">
        <v>373</v>
      </c>
      <c r="D405" s="378" t="e" cm="1">
        <f t="array" aca="1" ref="D40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05" s="99" t="s">
        <v>933</v>
      </c>
      <c r="F405" s="104" t="s">
        <v>352</v>
      </c>
      <c r="G405" s="99" t="s">
        <v>891</v>
      </c>
      <c r="H405" s="426" t="s">
        <v>351</v>
      </c>
      <c r="I405" s="395">
        <v>315400</v>
      </c>
      <c r="J405" s="153" t="s">
        <v>349</v>
      </c>
      <c r="K405" s="96" t="s">
        <v>924</v>
      </c>
      <c r="L405" s="99" t="s">
        <v>860</v>
      </c>
      <c r="M405" s="97"/>
      <c r="N405" s="97">
        <v>2026</v>
      </c>
      <c r="O405" s="258"/>
    </row>
    <row r="406" spans="2:15" customFormat="1">
      <c r="B406" s="104"/>
      <c r="C406" s="104"/>
      <c r="D406" s="378"/>
      <c r="E406" s="400"/>
      <c r="F406" s="104"/>
      <c r="G406" s="400"/>
      <c r="H406" s="426" t="s">
        <v>353</v>
      </c>
      <c r="I406" s="395"/>
      <c r="J406" s="153"/>
      <c r="K406" s="96" t="s">
        <v>924</v>
      </c>
      <c r="L406" s="99"/>
      <c r="M406" s="97"/>
      <c r="N406" s="244"/>
      <c r="O406" s="258"/>
    </row>
    <row r="407" spans="2:15" customFormat="1">
      <c r="B407" s="104"/>
      <c r="C407" s="104"/>
      <c r="D407" s="378"/>
      <c r="E407" s="400"/>
      <c r="F407" s="104"/>
      <c r="G407" s="400"/>
      <c r="H407" s="426" t="s">
        <v>353</v>
      </c>
      <c r="I407" s="395"/>
      <c r="J407" s="153"/>
      <c r="K407" s="83" t="s">
        <v>924</v>
      </c>
      <c r="L407" s="99"/>
      <c r="M407" s="97"/>
      <c r="N407" s="244"/>
      <c r="O407" s="258"/>
    </row>
    <row r="408" spans="2:15" customFormat="1">
      <c r="B408" s="104"/>
      <c r="C408" s="62" t="s">
        <v>411</v>
      </c>
      <c r="D408" s="218" t="e" cm="1">
        <f t="array" aca="1" ref="D40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08" s="9" t="s">
        <v>926</v>
      </c>
      <c r="F408" s="104" t="s">
        <v>352</v>
      </c>
      <c r="G408" s="9" t="s">
        <v>891</v>
      </c>
      <c r="H408" s="426" t="s">
        <v>353</v>
      </c>
      <c r="I408" s="493">
        <v>50000</v>
      </c>
      <c r="J408" s="153" t="s">
        <v>349</v>
      </c>
      <c r="K408" s="490" t="s">
        <v>924</v>
      </c>
      <c r="L408" s="491" t="s">
        <v>860</v>
      </c>
      <c r="M408" s="97"/>
      <c r="N408" s="10">
        <v>2026</v>
      </c>
      <c r="O408" s="258"/>
    </row>
    <row r="409" spans="2:15" customFormat="1">
      <c r="B409" s="104"/>
      <c r="C409" s="62" t="s">
        <v>373</v>
      </c>
      <c r="D409" s="218" t="e" cm="1">
        <f t="array" aca="1" ref="D40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09" s="9" t="s">
        <v>926</v>
      </c>
      <c r="F409" s="104" t="s">
        <v>352</v>
      </c>
      <c r="G409" s="9" t="s">
        <v>891</v>
      </c>
      <c r="H409" s="426" t="s">
        <v>353</v>
      </c>
      <c r="I409" s="493">
        <v>101000</v>
      </c>
      <c r="J409" s="153" t="s">
        <v>349</v>
      </c>
      <c r="K409" s="490" t="s">
        <v>924</v>
      </c>
      <c r="L409" s="491" t="s">
        <v>860</v>
      </c>
      <c r="M409" s="97"/>
      <c r="N409" s="10">
        <v>2026</v>
      </c>
      <c r="O409" s="258"/>
    </row>
    <row r="410" spans="2:15" customFormat="1">
      <c r="B410" s="104"/>
      <c r="C410" s="62" t="s">
        <v>415</v>
      </c>
      <c r="D410" s="218" t="e" cm="1">
        <f t="array" aca="1" ref="D41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10" s="9" t="s">
        <v>926</v>
      </c>
      <c r="F410" s="104" t="s">
        <v>352</v>
      </c>
      <c r="G410" s="9" t="s">
        <v>891</v>
      </c>
      <c r="H410" s="426" t="s">
        <v>353</v>
      </c>
      <c r="I410" s="493">
        <v>317000</v>
      </c>
      <c r="J410" s="153" t="s">
        <v>349</v>
      </c>
      <c r="K410" s="490" t="s">
        <v>924</v>
      </c>
      <c r="L410" s="491" t="s">
        <v>860</v>
      </c>
      <c r="M410" s="97"/>
      <c r="N410" s="10">
        <v>2026</v>
      </c>
      <c r="O410" s="258"/>
    </row>
    <row r="411" spans="2:15" customFormat="1">
      <c r="B411" s="104"/>
      <c r="C411" s="59"/>
      <c r="D411" s="378"/>
      <c r="E411" s="400"/>
      <c r="F411" s="104"/>
      <c r="G411" s="400"/>
      <c r="H411" s="426"/>
      <c r="I411" s="395"/>
      <c r="J411" s="153"/>
      <c r="K411" s="96" t="s">
        <v>924</v>
      </c>
      <c r="L411" s="99"/>
      <c r="M411" s="97"/>
      <c r="N411" s="244"/>
      <c r="O411" s="258"/>
    </row>
    <row r="412" spans="2:15" customFormat="1">
      <c r="B412" s="104"/>
      <c r="C412" s="59"/>
      <c r="D412" s="378"/>
      <c r="E412" s="400"/>
      <c r="F412" s="104"/>
      <c r="G412" s="400"/>
      <c r="H412" s="426"/>
      <c r="I412" s="395"/>
      <c r="J412" s="153"/>
      <c r="K412" s="96" t="s">
        <v>924</v>
      </c>
      <c r="L412" s="99"/>
      <c r="M412" s="97"/>
      <c r="N412" s="244"/>
      <c r="O412" s="258"/>
    </row>
    <row r="413" spans="2:15" customFormat="1">
      <c r="B413" s="104"/>
      <c r="C413" s="59"/>
      <c r="D413" s="378"/>
      <c r="E413" s="400"/>
      <c r="F413" s="104"/>
      <c r="G413" s="400"/>
      <c r="H413" s="426"/>
      <c r="I413" s="395"/>
      <c r="J413" s="153"/>
      <c r="K413" s="96"/>
      <c r="L413" s="99"/>
      <c r="M413" s="97"/>
      <c r="N413" s="244"/>
      <c r="O413" s="258"/>
    </row>
    <row r="414" spans="2:15" customFormat="1">
      <c r="B414" s="104"/>
      <c r="C414" s="96" t="s">
        <v>396</v>
      </c>
      <c r="D414" s="378" t="e" cm="1">
        <f t="array" aca="1" ref="D41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14" s="99" t="s">
        <v>918</v>
      </c>
      <c r="F414" s="104" t="s">
        <v>352</v>
      </c>
      <c r="G414" s="99" t="s">
        <v>891</v>
      </c>
      <c r="H414" s="426" t="s">
        <v>345</v>
      </c>
      <c r="I414" s="395">
        <v>367250000</v>
      </c>
      <c r="J414" s="153" t="s">
        <v>349</v>
      </c>
      <c r="K414" s="96" t="s">
        <v>919</v>
      </c>
      <c r="L414" s="99" t="s">
        <v>858</v>
      </c>
      <c r="M414" s="97"/>
      <c r="N414" s="97">
        <v>2026</v>
      </c>
      <c r="O414" s="258"/>
    </row>
    <row r="415" spans="2:15" customFormat="1">
      <c r="B415" s="104"/>
      <c r="C415" s="96" t="s">
        <v>567</v>
      </c>
      <c r="D415" s="378" t="e" cm="1">
        <f t="array" aca="1" ref="D41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15" s="99" t="s">
        <v>949</v>
      </c>
      <c r="F415" s="104" t="s">
        <v>352</v>
      </c>
      <c r="G415" s="99" t="s">
        <v>891</v>
      </c>
      <c r="H415" s="426" t="s">
        <v>353</v>
      </c>
      <c r="I415" s="395">
        <v>284499963</v>
      </c>
      <c r="J415" s="153" t="s">
        <v>346</v>
      </c>
      <c r="K415" s="96" t="s">
        <v>919</v>
      </c>
      <c r="L415" s="99" t="s">
        <v>922</v>
      </c>
      <c r="M415" s="97"/>
      <c r="N415" s="97">
        <v>2026</v>
      </c>
      <c r="O415" s="258"/>
    </row>
    <row r="416" spans="2:15" customFormat="1">
      <c r="B416" s="104"/>
      <c r="C416" s="96" t="s">
        <v>624</v>
      </c>
      <c r="D416" s="378" t="e" cm="1">
        <f t="array" aca="1" ref="D41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16" s="99" t="s">
        <v>972</v>
      </c>
      <c r="F416" s="104" t="s">
        <v>352</v>
      </c>
      <c r="G416" s="99" t="s">
        <v>891</v>
      </c>
      <c r="H416" s="426" t="s">
        <v>345</v>
      </c>
      <c r="I416" s="395">
        <v>115166667</v>
      </c>
      <c r="J416" s="153" t="s">
        <v>346</v>
      </c>
      <c r="K416" s="96" t="s">
        <v>919</v>
      </c>
      <c r="L416" s="99" t="s">
        <v>858</v>
      </c>
      <c r="M416" s="97"/>
      <c r="N416" s="97">
        <v>2026</v>
      </c>
      <c r="O416" s="258"/>
    </row>
    <row r="417" spans="2:15" customFormat="1">
      <c r="B417" s="104"/>
      <c r="C417" s="96" t="s">
        <v>414</v>
      </c>
      <c r="D417" s="378" t="e" cm="1">
        <f t="array" aca="1" ref="D41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17" s="99" t="s">
        <v>902</v>
      </c>
      <c r="F417" s="104" t="s">
        <v>352</v>
      </c>
      <c r="G417" s="99" t="s">
        <v>891</v>
      </c>
      <c r="H417" s="426" t="s">
        <v>351</v>
      </c>
      <c r="I417" s="395">
        <v>82812200</v>
      </c>
      <c r="J417" s="153" t="s">
        <v>346</v>
      </c>
      <c r="K417" s="96" t="s">
        <v>903</v>
      </c>
      <c r="L417" s="99" t="s">
        <v>858</v>
      </c>
      <c r="M417" s="97"/>
      <c r="N417" s="97">
        <v>2026</v>
      </c>
      <c r="O417" s="258"/>
    </row>
    <row r="418" spans="2:15" customFormat="1">
      <c r="B418" s="104"/>
      <c r="C418" s="96" t="s">
        <v>410</v>
      </c>
      <c r="D418" s="378" t="e" cm="1">
        <f t="array" aca="1" ref="D41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18" s="99" t="s">
        <v>973</v>
      </c>
      <c r="F418" s="104" t="s">
        <v>352</v>
      </c>
      <c r="G418" s="99" t="s">
        <v>891</v>
      </c>
      <c r="H418" s="426" t="s">
        <v>353</v>
      </c>
      <c r="I418" s="395">
        <v>21250000</v>
      </c>
      <c r="J418" s="153" t="s">
        <v>346</v>
      </c>
      <c r="K418" s="96" t="s">
        <v>974</v>
      </c>
      <c r="L418" s="99" t="s">
        <v>860</v>
      </c>
      <c r="M418" s="97"/>
      <c r="N418" s="97">
        <v>2026</v>
      </c>
      <c r="O418" s="258"/>
    </row>
    <row r="419" spans="2:15" customFormat="1">
      <c r="B419" s="104"/>
      <c r="C419" s="96" t="s">
        <v>373</v>
      </c>
      <c r="D419" s="378" t="e" cm="1">
        <f t="array" aca="1" ref="D41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19" s="99" t="s">
        <v>942</v>
      </c>
      <c r="F419" s="104" t="s">
        <v>352</v>
      </c>
      <c r="G419" s="99" t="s">
        <v>894</v>
      </c>
      <c r="H419" s="426" t="s">
        <v>351</v>
      </c>
      <c r="I419" s="398" t="s">
        <v>975</v>
      </c>
      <c r="J419" s="153" t="s">
        <v>349</v>
      </c>
      <c r="K419" s="453" t="s">
        <v>943</v>
      </c>
      <c r="L419" s="454" t="s">
        <v>858</v>
      </c>
      <c r="M419" s="97" t="s">
        <v>976</v>
      </c>
      <c r="N419" s="97">
        <v>2026</v>
      </c>
      <c r="O419" s="258"/>
    </row>
    <row r="420" spans="2:15" customFormat="1">
      <c r="B420" s="104"/>
      <c r="C420" s="96" t="s">
        <v>130</v>
      </c>
      <c r="D420" s="378" t="e" cm="1">
        <f t="array" aca="1" ref="D42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20" s="99" t="s">
        <v>977</v>
      </c>
      <c r="F420" s="104" t="s">
        <v>352</v>
      </c>
      <c r="G420" s="99" t="s">
        <v>891</v>
      </c>
      <c r="H420" s="426" t="s">
        <v>353</v>
      </c>
      <c r="I420" s="395">
        <v>18000000</v>
      </c>
      <c r="J420" s="153" t="s">
        <v>346</v>
      </c>
      <c r="K420" s="399" t="s">
        <v>978</v>
      </c>
      <c r="L420" s="456" t="s">
        <v>860</v>
      </c>
      <c r="M420" s="97"/>
      <c r="N420" s="97">
        <v>2026</v>
      </c>
      <c r="O420" s="258"/>
    </row>
    <row r="421" spans="2:15" customFormat="1">
      <c r="B421" s="104"/>
      <c r="C421" s="96" t="s">
        <v>373</v>
      </c>
      <c r="D421" s="378" t="e" cm="1">
        <f t="array" aca="1" ref="D42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21" s="99" t="s">
        <v>890</v>
      </c>
      <c r="F421" s="104" t="s">
        <v>352</v>
      </c>
      <c r="G421" s="99" t="s">
        <v>891</v>
      </c>
      <c r="H421" s="426" t="s">
        <v>348</v>
      </c>
      <c r="I421" s="395">
        <v>7500000</v>
      </c>
      <c r="J421" s="153" t="s">
        <v>349</v>
      </c>
      <c r="K421" s="389" t="s">
        <v>892</v>
      </c>
      <c r="L421" s="457" t="s">
        <v>858</v>
      </c>
      <c r="M421" s="97"/>
      <c r="N421" s="97">
        <v>2026</v>
      </c>
      <c r="O421" s="258">
        <v>512535</v>
      </c>
    </row>
    <row r="422" spans="2:15" customFormat="1">
      <c r="B422" s="104"/>
      <c r="C422" s="96" t="s">
        <v>373</v>
      </c>
      <c r="D422" s="378" t="e" cm="1">
        <f t="array" aca="1" ref="D42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22" s="99" t="s">
        <v>890</v>
      </c>
      <c r="F422" s="104" t="s">
        <v>352</v>
      </c>
      <c r="G422" s="99" t="s">
        <v>891</v>
      </c>
      <c r="H422" s="426" t="s">
        <v>351</v>
      </c>
      <c r="I422" s="395">
        <v>7500000</v>
      </c>
      <c r="J422" s="153" t="s">
        <v>349</v>
      </c>
      <c r="K422" s="389" t="s">
        <v>892</v>
      </c>
      <c r="L422" s="457" t="s">
        <v>858</v>
      </c>
      <c r="M422" s="97"/>
      <c r="N422" s="97">
        <v>2026</v>
      </c>
      <c r="O422" s="258">
        <v>513769</v>
      </c>
    </row>
    <row r="423" spans="2:15" customFormat="1">
      <c r="B423" s="104"/>
      <c r="C423" s="104" t="s">
        <v>373</v>
      </c>
      <c r="D423" s="378" t="e" cm="1">
        <f t="array" aca="1" ref="D42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23" s="400" t="s">
        <v>890</v>
      </c>
      <c r="F423" s="104" t="s">
        <v>352</v>
      </c>
      <c r="G423" s="400" t="s">
        <v>891</v>
      </c>
      <c r="H423" s="426" t="s">
        <v>353</v>
      </c>
      <c r="I423" s="395">
        <v>7500000</v>
      </c>
      <c r="J423" s="153" t="s">
        <v>346</v>
      </c>
      <c r="K423" s="389" t="s">
        <v>892</v>
      </c>
      <c r="L423" s="457" t="s">
        <v>858</v>
      </c>
      <c r="M423" s="97"/>
      <c r="N423" s="97">
        <v>2026</v>
      </c>
      <c r="O423" s="258">
        <v>514357</v>
      </c>
    </row>
    <row r="424" spans="2:15" customFormat="1">
      <c r="B424" s="104"/>
      <c r="C424" s="96" t="s">
        <v>373</v>
      </c>
      <c r="D424" s="378" t="e" cm="1">
        <f t="array" aca="1" ref="D42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24" s="99" t="s">
        <v>979</v>
      </c>
      <c r="F424" s="104" t="s">
        <v>352</v>
      </c>
      <c r="G424" s="99" t="s">
        <v>891</v>
      </c>
      <c r="H424" s="426" t="s">
        <v>351</v>
      </c>
      <c r="I424" s="395">
        <v>37350000</v>
      </c>
      <c r="J424" s="153" t="s">
        <v>346</v>
      </c>
      <c r="K424" s="178" t="s">
        <v>968</v>
      </c>
      <c r="L424" s="414" t="s">
        <v>860</v>
      </c>
      <c r="M424" s="97"/>
      <c r="N424" s="97">
        <v>2026</v>
      </c>
      <c r="O424" s="258"/>
    </row>
    <row r="425" spans="2:15" customFormat="1">
      <c r="B425" s="104"/>
      <c r="C425" s="96" t="s">
        <v>411</v>
      </c>
      <c r="D425" s="378" t="e" cm="1">
        <f t="array" aca="1" ref="D42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25" s="99" t="s">
        <v>980</v>
      </c>
      <c r="F425" s="104" t="s">
        <v>352</v>
      </c>
      <c r="G425" s="99" t="s">
        <v>891</v>
      </c>
      <c r="H425" s="426" t="s">
        <v>353</v>
      </c>
      <c r="I425" s="395">
        <v>56350000</v>
      </c>
      <c r="J425" s="153" t="s">
        <v>346</v>
      </c>
      <c r="K425" s="178" t="s">
        <v>981</v>
      </c>
      <c r="L425" s="414" t="s">
        <v>860</v>
      </c>
      <c r="M425" s="97"/>
      <c r="N425" s="97">
        <v>2026</v>
      </c>
      <c r="O425" s="258"/>
    </row>
    <row r="426" spans="2:15" customFormat="1">
      <c r="B426" s="104"/>
      <c r="C426" s="96" t="s">
        <v>373</v>
      </c>
      <c r="D426" s="378" t="e" cm="1">
        <f t="array" aca="1" ref="D42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26" s="99" t="s">
        <v>982</v>
      </c>
      <c r="F426" s="104" t="s">
        <v>352</v>
      </c>
      <c r="G426" s="99" t="s">
        <v>891</v>
      </c>
      <c r="H426" s="426" t="s">
        <v>351</v>
      </c>
      <c r="I426" s="395">
        <v>19800000</v>
      </c>
      <c r="J426" s="153" t="s">
        <v>346</v>
      </c>
      <c r="K426" s="178" t="s">
        <v>968</v>
      </c>
      <c r="L426" s="414" t="s">
        <v>860</v>
      </c>
      <c r="M426" s="97"/>
      <c r="N426" s="97">
        <v>2026</v>
      </c>
      <c r="O426" s="258"/>
    </row>
    <row r="427" spans="2:15" customFormat="1">
      <c r="B427" s="104"/>
      <c r="C427" s="104" t="s">
        <v>539</v>
      </c>
      <c r="D427" s="378" t="e" cm="1">
        <f t="array" aca="1" ref="D42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27" s="99" t="s">
        <v>907</v>
      </c>
      <c r="F427" s="104" t="s">
        <v>352</v>
      </c>
      <c r="G427" s="99" t="s">
        <v>891</v>
      </c>
      <c r="H427" s="426" t="s">
        <v>353</v>
      </c>
      <c r="I427" s="395">
        <v>3850000</v>
      </c>
      <c r="J427" s="153" t="s">
        <v>349</v>
      </c>
      <c r="K427" s="178" t="s">
        <v>33</v>
      </c>
      <c r="L427" s="414" t="s">
        <v>858</v>
      </c>
      <c r="M427" s="97"/>
      <c r="N427" s="97">
        <v>2026</v>
      </c>
      <c r="O427" s="258"/>
    </row>
    <row r="428" spans="2:15" customFormat="1">
      <c r="B428" s="59"/>
      <c r="C428" s="59" t="s">
        <v>539</v>
      </c>
      <c r="D428" s="218" t="e" cm="1">
        <f t="array" aca="1" ref="D42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28" s="56" t="s">
        <v>907</v>
      </c>
      <c r="F428" s="59" t="s">
        <v>352</v>
      </c>
      <c r="G428" s="56" t="s">
        <v>894</v>
      </c>
      <c r="H428" s="488" t="s">
        <v>355</v>
      </c>
      <c r="I428" s="279">
        <v>3850000</v>
      </c>
      <c r="J428" s="33" t="s">
        <v>346</v>
      </c>
      <c r="K428" s="489" t="s">
        <v>33</v>
      </c>
      <c r="L428" s="9" t="s">
        <v>858</v>
      </c>
      <c r="M428" s="10"/>
      <c r="N428" s="51">
        <v>2026</v>
      </c>
      <c r="O428" s="258"/>
    </row>
    <row r="429" spans="2:15" customFormat="1">
      <c r="B429" s="178"/>
      <c r="C429" s="104" t="s">
        <v>415</v>
      </c>
      <c r="D429" s="378" t="e" cm="1">
        <f t="array" aca="1" ref="D42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29" s="99" t="s">
        <v>909</v>
      </c>
      <c r="F429" s="104" t="s">
        <v>352</v>
      </c>
      <c r="G429" s="99" t="s">
        <v>891</v>
      </c>
      <c r="H429" s="426" t="s">
        <v>353</v>
      </c>
      <c r="I429" s="395">
        <v>15000000</v>
      </c>
      <c r="J429" s="153" t="s">
        <v>346</v>
      </c>
      <c r="K429" s="178" t="s">
        <v>33</v>
      </c>
      <c r="L429" s="414" t="s">
        <v>858</v>
      </c>
      <c r="M429" s="97"/>
      <c r="N429" s="97">
        <v>2026</v>
      </c>
      <c r="O429" s="258"/>
    </row>
    <row r="430" spans="2:15" customFormat="1">
      <c r="B430" s="104"/>
      <c r="C430" s="104" t="s">
        <v>411</v>
      </c>
      <c r="D430" s="378" t="e" cm="1">
        <f t="array" aca="1" ref="D43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30" s="99" t="s">
        <v>908</v>
      </c>
      <c r="F430" s="104" t="s">
        <v>352</v>
      </c>
      <c r="G430" s="99" t="s">
        <v>891</v>
      </c>
      <c r="H430" s="426" t="s">
        <v>353</v>
      </c>
      <c r="I430" s="395">
        <v>73750000</v>
      </c>
      <c r="J430" s="153" t="s">
        <v>346</v>
      </c>
      <c r="K430" s="178" t="s">
        <v>33</v>
      </c>
      <c r="L430" s="414" t="s">
        <v>858</v>
      </c>
      <c r="M430" s="97"/>
      <c r="N430" s="97">
        <v>2026</v>
      </c>
      <c r="O430" s="258"/>
    </row>
    <row r="431" spans="2:15" customFormat="1">
      <c r="B431" s="104"/>
      <c r="C431" s="104" t="s">
        <v>411</v>
      </c>
      <c r="D431" s="378" t="e" cm="1">
        <f t="array" aca="1" ref="D43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31" s="400" t="s">
        <v>983</v>
      </c>
      <c r="F431" s="104" t="s">
        <v>352</v>
      </c>
      <c r="G431" s="400" t="s">
        <v>894</v>
      </c>
      <c r="H431" s="426" t="s">
        <v>353</v>
      </c>
      <c r="I431" s="395">
        <v>195000000</v>
      </c>
      <c r="J431" s="153" t="s">
        <v>346</v>
      </c>
      <c r="K431" s="178" t="s">
        <v>984</v>
      </c>
      <c r="L431" s="414" t="s">
        <v>860</v>
      </c>
      <c r="M431" s="97"/>
      <c r="N431" s="97">
        <v>2026</v>
      </c>
      <c r="O431" s="258"/>
    </row>
    <row r="432" spans="2:15" customFormat="1">
      <c r="B432" s="104"/>
      <c r="C432" s="104" t="s">
        <v>614</v>
      </c>
      <c r="D432" s="378" t="e" cm="1">
        <f t="array" aca="1" ref="D43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32" s="99" t="s">
        <v>910</v>
      </c>
      <c r="F432" s="104" t="s">
        <v>352</v>
      </c>
      <c r="G432" s="99" t="s">
        <v>891</v>
      </c>
      <c r="H432" s="426" t="s">
        <v>355</v>
      </c>
      <c r="I432" s="395">
        <v>2440726</v>
      </c>
      <c r="J432" s="153" t="s">
        <v>349</v>
      </c>
      <c r="K432" s="178" t="s">
        <v>911</v>
      </c>
      <c r="L432" s="414" t="s">
        <v>858</v>
      </c>
      <c r="M432" s="97"/>
      <c r="N432" s="97">
        <v>2026</v>
      </c>
      <c r="O432" s="258"/>
    </row>
    <row r="433" spans="2:15" customFormat="1">
      <c r="B433" s="104"/>
      <c r="C433" s="104" t="s">
        <v>411</v>
      </c>
      <c r="D433" s="378" t="e" cm="1">
        <f t="array" aca="1" ref="D43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33" s="400" t="s">
        <v>985</v>
      </c>
      <c r="F433" s="104" t="s">
        <v>352</v>
      </c>
      <c r="G433" s="400" t="s">
        <v>891</v>
      </c>
      <c r="H433" s="426" t="s">
        <v>342</v>
      </c>
      <c r="I433" s="395">
        <v>40000000</v>
      </c>
      <c r="J433" s="153" t="s">
        <v>346</v>
      </c>
      <c r="K433" s="178" t="s">
        <v>986</v>
      </c>
      <c r="L433" s="414" t="s">
        <v>858</v>
      </c>
      <c r="M433" s="97"/>
      <c r="N433" s="97">
        <v>2026</v>
      </c>
      <c r="O433" s="258"/>
    </row>
    <row r="434" spans="2:15" customFormat="1">
      <c r="B434" s="104"/>
      <c r="C434" s="104" t="s">
        <v>411</v>
      </c>
      <c r="D434" s="378" t="e" cm="1">
        <f t="array" aca="1" ref="D43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34" s="400" t="s">
        <v>985</v>
      </c>
      <c r="F434" s="104" t="s">
        <v>352</v>
      </c>
      <c r="G434" s="400" t="s">
        <v>891</v>
      </c>
      <c r="H434" s="426" t="s">
        <v>345</v>
      </c>
      <c r="I434" s="395">
        <v>40000000</v>
      </c>
      <c r="J434" s="153" t="s">
        <v>346</v>
      </c>
      <c r="K434" s="178" t="s">
        <v>986</v>
      </c>
      <c r="L434" s="414" t="s">
        <v>858</v>
      </c>
      <c r="M434" s="97"/>
      <c r="N434" s="97">
        <v>2026</v>
      </c>
      <c r="O434" s="258"/>
    </row>
    <row r="435" spans="2:15" customFormat="1">
      <c r="B435" s="104"/>
      <c r="C435" s="104" t="s">
        <v>411</v>
      </c>
      <c r="D435" s="378" t="e" cm="1">
        <f t="array" aca="1" ref="D43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35" s="400" t="s">
        <v>985</v>
      </c>
      <c r="F435" s="104" t="s">
        <v>352</v>
      </c>
      <c r="G435" s="400" t="s">
        <v>891</v>
      </c>
      <c r="H435" s="426" t="s">
        <v>348</v>
      </c>
      <c r="I435" s="395">
        <v>40000000</v>
      </c>
      <c r="J435" s="153" t="s">
        <v>346</v>
      </c>
      <c r="K435" s="178" t="s">
        <v>986</v>
      </c>
      <c r="L435" s="414" t="s">
        <v>858</v>
      </c>
      <c r="M435" s="97"/>
      <c r="N435" s="97">
        <v>2026</v>
      </c>
      <c r="O435" s="258"/>
    </row>
    <row r="436" spans="2:15" customFormat="1">
      <c r="B436" s="104"/>
      <c r="C436" s="104" t="s">
        <v>562</v>
      </c>
      <c r="D436" s="378" t="e" cm="1">
        <f t="array" aca="1" ref="D43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36" s="400" t="s">
        <v>987</v>
      </c>
      <c r="F436" s="104" t="s">
        <v>352</v>
      </c>
      <c r="G436" s="400" t="s">
        <v>891</v>
      </c>
      <c r="H436" s="426" t="s">
        <v>353</v>
      </c>
      <c r="I436" s="395">
        <v>36960600</v>
      </c>
      <c r="J436" s="153" t="s">
        <v>346</v>
      </c>
      <c r="K436" s="178" t="s">
        <v>963</v>
      </c>
      <c r="L436" s="414" t="s">
        <v>860</v>
      </c>
      <c r="M436" s="97"/>
      <c r="N436" s="97">
        <v>2026</v>
      </c>
      <c r="O436" s="258"/>
    </row>
    <row r="437" spans="2:15" customFormat="1">
      <c r="B437" s="104"/>
      <c r="C437" s="104" t="s">
        <v>562</v>
      </c>
      <c r="D437" s="378" t="e" cm="1">
        <f t="array" aca="1" ref="D43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37" s="400" t="s">
        <v>988</v>
      </c>
      <c r="F437" s="104" t="s">
        <v>352</v>
      </c>
      <c r="G437" s="400" t="s">
        <v>891</v>
      </c>
      <c r="H437" s="426" t="s">
        <v>351</v>
      </c>
      <c r="I437" s="395">
        <v>741774300</v>
      </c>
      <c r="J437" s="153" t="s">
        <v>346</v>
      </c>
      <c r="K437" s="178" t="s">
        <v>963</v>
      </c>
      <c r="L437" s="414" t="s">
        <v>860</v>
      </c>
      <c r="M437" s="97"/>
      <c r="N437" s="97">
        <v>2026</v>
      </c>
      <c r="O437" s="258"/>
    </row>
    <row r="438" spans="2:15" customFormat="1">
      <c r="B438" s="104"/>
      <c r="C438" s="104" t="s">
        <v>373</v>
      </c>
      <c r="D438" s="378" t="e" cm="1">
        <f t="array" aca="1" ref="D43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38" s="400" t="s">
        <v>989</v>
      </c>
      <c r="F438" s="104" t="s">
        <v>352</v>
      </c>
      <c r="G438" s="400" t="s">
        <v>891</v>
      </c>
      <c r="H438" s="426" t="s">
        <v>355</v>
      </c>
      <c r="I438" s="395">
        <v>12030000</v>
      </c>
      <c r="J438" s="153" t="s">
        <v>346</v>
      </c>
      <c r="K438" s="178" t="s">
        <v>968</v>
      </c>
      <c r="L438" s="414" t="s">
        <v>860</v>
      </c>
      <c r="M438" s="97"/>
      <c r="N438" s="97">
        <v>2026</v>
      </c>
      <c r="O438" s="258"/>
    </row>
    <row r="439" spans="2:15" customFormat="1">
      <c r="B439" s="104"/>
      <c r="C439" s="104" t="s">
        <v>619</v>
      </c>
      <c r="D439" s="378" t="e" cm="1">
        <f t="array" aca="1" ref="D43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39" s="400" t="s">
        <v>990</v>
      </c>
      <c r="F439" s="104" t="s">
        <v>352</v>
      </c>
      <c r="G439" s="400" t="s">
        <v>894</v>
      </c>
      <c r="H439" s="426" t="s">
        <v>348</v>
      </c>
      <c r="I439" s="395">
        <v>2000000</v>
      </c>
      <c r="J439" s="153" t="s">
        <v>346</v>
      </c>
      <c r="K439" s="178" t="s">
        <v>961</v>
      </c>
      <c r="L439" s="99" t="s">
        <v>858</v>
      </c>
      <c r="M439" s="97" t="s">
        <v>991</v>
      </c>
      <c r="N439" s="97">
        <v>2026</v>
      </c>
      <c r="O439" s="258"/>
    </row>
    <row r="440" spans="2:15" customFormat="1">
      <c r="B440" s="104"/>
      <c r="C440" s="104" t="s">
        <v>619</v>
      </c>
      <c r="D440" s="378" t="e" cm="1">
        <f t="array" aca="1" ref="D44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40" s="400" t="s">
        <v>990</v>
      </c>
      <c r="F440" s="104" t="s">
        <v>352</v>
      </c>
      <c r="G440" s="400" t="s">
        <v>894</v>
      </c>
      <c r="H440" s="426" t="s">
        <v>351</v>
      </c>
      <c r="I440" s="395">
        <v>2000000</v>
      </c>
      <c r="J440" s="153" t="s">
        <v>346</v>
      </c>
      <c r="K440" s="178" t="s">
        <v>961</v>
      </c>
      <c r="L440" s="99" t="s">
        <v>858</v>
      </c>
      <c r="M440" s="97"/>
      <c r="N440" s="97">
        <v>2026</v>
      </c>
      <c r="O440" s="258"/>
    </row>
    <row r="441" spans="2:15" customFormat="1">
      <c r="B441" s="104"/>
      <c r="C441" s="104" t="s">
        <v>420</v>
      </c>
      <c r="D441" s="378" t="e" cm="1">
        <f t="array" aca="1" ref="D44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41" s="400" t="s">
        <v>992</v>
      </c>
      <c r="F441" s="104" t="s">
        <v>352</v>
      </c>
      <c r="G441" s="400" t="s">
        <v>894</v>
      </c>
      <c r="H441" s="426" t="s">
        <v>355</v>
      </c>
      <c r="I441" s="395">
        <v>862000000</v>
      </c>
      <c r="J441" s="153" t="s">
        <v>349</v>
      </c>
      <c r="K441" s="178" t="s">
        <v>993</v>
      </c>
      <c r="L441" s="99" t="s">
        <v>860</v>
      </c>
      <c r="M441" s="97"/>
      <c r="N441" s="97">
        <v>2026</v>
      </c>
      <c r="O441" s="258"/>
    </row>
    <row r="442" spans="2:15" customFormat="1">
      <c r="B442" s="104"/>
      <c r="C442" s="104" t="s">
        <v>619</v>
      </c>
      <c r="D442" s="378" t="e" cm="1">
        <f t="array" aca="1" ref="D44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42" s="400" t="s">
        <v>990</v>
      </c>
      <c r="F442" s="104" t="s">
        <v>352</v>
      </c>
      <c r="G442" s="400" t="s">
        <v>894</v>
      </c>
      <c r="H442" s="426" t="s">
        <v>353</v>
      </c>
      <c r="I442" s="395">
        <v>2000000</v>
      </c>
      <c r="J442" s="153" t="s">
        <v>346</v>
      </c>
      <c r="K442" s="178" t="s">
        <v>961</v>
      </c>
      <c r="L442" s="99" t="s">
        <v>858</v>
      </c>
      <c r="M442" s="97"/>
      <c r="N442" s="97">
        <v>2026</v>
      </c>
      <c r="O442" s="258"/>
    </row>
    <row r="443" spans="2:15" customFormat="1">
      <c r="B443" s="104"/>
      <c r="C443" s="104" t="s">
        <v>373</v>
      </c>
      <c r="D443" s="378" t="e" cm="1">
        <f t="array" aca="1" ref="D44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43" s="56" t="s">
        <v>994</v>
      </c>
      <c r="F443" s="104" t="s">
        <v>352</v>
      </c>
      <c r="G443" s="400" t="s">
        <v>891</v>
      </c>
      <c r="H443" s="426" t="s">
        <v>351</v>
      </c>
      <c r="I443" s="395">
        <v>127600000</v>
      </c>
      <c r="J443" s="153" t="s">
        <v>349</v>
      </c>
      <c r="K443" s="178" t="s">
        <v>884</v>
      </c>
      <c r="L443" s="99" t="s">
        <v>858</v>
      </c>
      <c r="M443" s="97"/>
      <c r="N443" s="97">
        <v>2026</v>
      </c>
      <c r="O443" s="258"/>
    </row>
    <row r="444" spans="2:15" customFormat="1">
      <c r="B444" s="104"/>
      <c r="C444" s="104" t="s">
        <v>373</v>
      </c>
      <c r="D444" s="378" t="e" cm="1">
        <f t="array" aca="1" ref="D44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44" s="400" t="s">
        <v>994</v>
      </c>
      <c r="F444" s="104" t="s">
        <v>352</v>
      </c>
      <c r="G444" s="400" t="s">
        <v>891</v>
      </c>
      <c r="H444" s="426" t="s">
        <v>353</v>
      </c>
      <c r="I444" s="395">
        <v>127600000</v>
      </c>
      <c r="J444" s="153" t="s">
        <v>349</v>
      </c>
      <c r="K444" s="178" t="s">
        <v>884</v>
      </c>
      <c r="L444" s="99" t="s">
        <v>858</v>
      </c>
      <c r="M444" s="97"/>
      <c r="N444" s="97">
        <v>2026</v>
      </c>
      <c r="O444" s="258"/>
    </row>
    <row r="445" spans="2:15" customFormat="1">
      <c r="B445" s="104"/>
      <c r="C445" s="104" t="s">
        <v>411</v>
      </c>
      <c r="D445" s="378" t="e" cm="1">
        <f t="array" aca="1" ref="D44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45" s="99" t="s">
        <v>995</v>
      </c>
      <c r="F445" s="104" t="s">
        <v>352</v>
      </c>
      <c r="G445" s="400" t="s">
        <v>891</v>
      </c>
      <c r="H445" s="426" t="s">
        <v>353</v>
      </c>
      <c r="I445" s="395">
        <v>98500000</v>
      </c>
      <c r="J445" s="153" t="s">
        <v>346</v>
      </c>
      <c r="K445" s="178" t="s">
        <v>996</v>
      </c>
      <c r="L445" s="99" t="s">
        <v>860</v>
      </c>
      <c r="M445" s="97"/>
      <c r="N445" s="97">
        <v>2026</v>
      </c>
      <c r="O445" s="258"/>
    </row>
    <row r="446" spans="2:15" customFormat="1">
      <c r="B446" s="104"/>
      <c r="C446" s="104" t="s">
        <v>411</v>
      </c>
      <c r="D446" s="378" t="e" cm="1">
        <f t="array" aca="1" ref="D44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46" s="400" t="s">
        <v>997</v>
      </c>
      <c r="F446" s="104" t="s">
        <v>352</v>
      </c>
      <c r="G446" s="400" t="s">
        <v>891</v>
      </c>
      <c r="H446" s="426" t="s">
        <v>348</v>
      </c>
      <c r="I446" s="395">
        <v>402717608</v>
      </c>
      <c r="J446" s="153" t="s">
        <v>349</v>
      </c>
      <c r="K446" s="178" t="s">
        <v>998</v>
      </c>
      <c r="L446" s="99" t="s">
        <v>860</v>
      </c>
      <c r="M446" s="97"/>
      <c r="N446" s="97">
        <v>2026</v>
      </c>
      <c r="O446" s="258"/>
    </row>
    <row r="447" spans="2:15" customFormat="1">
      <c r="B447" s="104"/>
      <c r="C447" s="104" t="s">
        <v>411</v>
      </c>
      <c r="D447" s="378" t="e" cm="1">
        <f t="array" aca="1" ref="D44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47" s="400" t="s">
        <v>999</v>
      </c>
      <c r="F447" s="104" t="s">
        <v>352</v>
      </c>
      <c r="G447" s="400" t="s">
        <v>894</v>
      </c>
      <c r="H447" s="426" t="s">
        <v>348</v>
      </c>
      <c r="I447" s="395">
        <v>474692600</v>
      </c>
      <c r="J447" s="153" t="s">
        <v>349</v>
      </c>
      <c r="K447" s="178" t="s">
        <v>998</v>
      </c>
      <c r="L447" s="99" t="s">
        <v>860</v>
      </c>
      <c r="M447" s="97"/>
      <c r="N447" s="97">
        <v>2026</v>
      </c>
      <c r="O447" s="258"/>
    </row>
    <row r="448" spans="2:15" customFormat="1">
      <c r="B448" s="104"/>
      <c r="C448" s="104" t="s">
        <v>411</v>
      </c>
      <c r="D448" s="378" t="e" cm="1">
        <f t="array" aca="1" ref="D44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48" s="400" t="s">
        <v>1000</v>
      </c>
      <c r="F448" s="104" t="s">
        <v>352</v>
      </c>
      <c r="G448" s="400" t="s">
        <v>891</v>
      </c>
      <c r="H448" s="426" t="s">
        <v>351</v>
      </c>
      <c r="I448" s="395">
        <v>505675000</v>
      </c>
      <c r="J448" s="153" t="s">
        <v>346</v>
      </c>
      <c r="K448" s="178" t="s">
        <v>1001</v>
      </c>
      <c r="L448" s="99" t="s">
        <v>860</v>
      </c>
      <c r="M448" s="97"/>
      <c r="N448" s="97">
        <v>2026</v>
      </c>
      <c r="O448" s="258"/>
    </row>
    <row r="449" spans="2:15" customFormat="1">
      <c r="B449" s="104"/>
      <c r="C449" s="104" t="s">
        <v>373</v>
      </c>
      <c r="D449" s="378" t="e" cm="1">
        <f t="array" aca="1" ref="D44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49" s="99" t="s">
        <v>1002</v>
      </c>
      <c r="F449" s="104" t="s">
        <v>352</v>
      </c>
      <c r="G449" s="400" t="s">
        <v>891</v>
      </c>
      <c r="H449" s="426" t="s">
        <v>348</v>
      </c>
      <c r="I449" s="398">
        <v>114400000</v>
      </c>
      <c r="J449" s="153" t="s">
        <v>346</v>
      </c>
      <c r="K449" s="178" t="s">
        <v>1003</v>
      </c>
      <c r="L449" s="99" t="s">
        <v>860</v>
      </c>
      <c r="M449" s="97"/>
      <c r="N449" s="97">
        <v>2026</v>
      </c>
      <c r="O449" s="258"/>
    </row>
    <row r="450" spans="2:15" customFormat="1">
      <c r="B450" s="104"/>
      <c r="C450" s="104" t="s">
        <v>373</v>
      </c>
      <c r="D450" s="378" t="e" cm="1">
        <f t="array" aca="1" ref="D45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50" s="99" t="s">
        <v>1002</v>
      </c>
      <c r="F450" s="104" t="s">
        <v>352</v>
      </c>
      <c r="G450" s="400" t="s">
        <v>891</v>
      </c>
      <c r="H450" s="426" t="s">
        <v>348</v>
      </c>
      <c r="I450" s="398">
        <v>63840000</v>
      </c>
      <c r="J450" s="153" t="s">
        <v>346</v>
      </c>
      <c r="K450" s="178" t="s">
        <v>1003</v>
      </c>
      <c r="L450" s="99" t="s">
        <v>860</v>
      </c>
      <c r="M450" s="97"/>
      <c r="N450" s="97">
        <v>2026</v>
      </c>
      <c r="O450" s="258"/>
    </row>
    <row r="451" spans="2:15" customFormat="1">
      <c r="B451" s="104"/>
      <c r="C451" s="104" t="s">
        <v>373</v>
      </c>
      <c r="D451" s="378" t="e" cm="1">
        <f t="array" aca="1" ref="D45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51" s="99" t="s">
        <v>1002</v>
      </c>
      <c r="F451" s="104" t="s">
        <v>352</v>
      </c>
      <c r="G451" s="400" t="s">
        <v>891</v>
      </c>
      <c r="H451" s="426" t="s">
        <v>348</v>
      </c>
      <c r="I451" s="398">
        <v>114400000</v>
      </c>
      <c r="J451" s="153" t="s">
        <v>346</v>
      </c>
      <c r="K451" s="178" t="s">
        <v>1003</v>
      </c>
      <c r="L451" s="99" t="s">
        <v>860</v>
      </c>
      <c r="M451" s="97"/>
      <c r="N451" s="97">
        <v>2026</v>
      </c>
      <c r="O451" s="258"/>
    </row>
    <row r="452" spans="2:15" customFormat="1">
      <c r="B452" s="104"/>
      <c r="C452" s="104" t="s">
        <v>373</v>
      </c>
      <c r="D452" s="378" t="e" cm="1">
        <f t="array" aca="1" ref="D45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52" s="99" t="s">
        <v>1002</v>
      </c>
      <c r="F452" s="104" t="s">
        <v>352</v>
      </c>
      <c r="G452" s="400" t="s">
        <v>891</v>
      </c>
      <c r="H452" s="426" t="s">
        <v>348</v>
      </c>
      <c r="I452" s="398">
        <v>141208000</v>
      </c>
      <c r="J452" s="153" t="s">
        <v>346</v>
      </c>
      <c r="K452" s="178" t="s">
        <v>1003</v>
      </c>
      <c r="L452" s="99" t="s">
        <v>860</v>
      </c>
      <c r="M452" s="97"/>
      <c r="N452" s="97">
        <v>2026</v>
      </c>
      <c r="O452" s="258"/>
    </row>
    <row r="453" spans="2:15" customFormat="1">
      <c r="B453" s="104"/>
      <c r="C453" s="104" t="s">
        <v>373</v>
      </c>
      <c r="D453" s="378" t="e" cm="1">
        <f t="array" aca="1" ref="D45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53" s="99" t="s">
        <v>1002</v>
      </c>
      <c r="F453" s="104" t="s">
        <v>352</v>
      </c>
      <c r="G453" s="400" t="s">
        <v>891</v>
      </c>
      <c r="H453" s="426" t="s">
        <v>348</v>
      </c>
      <c r="I453" s="398">
        <v>91048000</v>
      </c>
      <c r="J453" s="153" t="s">
        <v>346</v>
      </c>
      <c r="K453" s="178" t="s">
        <v>1003</v>
      </c>
      <c r="L453" s="99" t="s">
        <v>860</v>
      </c>
      <c r="M453" s="97"/>
      <c r="N453" s="97">
        <v>2026</v>
      </c>
      <c r="O453" s="258"/>
    </row>
    <row r="454" spans="2:15" customFormat="1">
      <c r="B454" s="104"/>
      <c r="C454" s="104" t="s">
        <v>373</v>
      </c>
      <c r="D454" s="378" t="e" cm="1">
        <f t="array" aca="1" ref="D45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54" s="99" t="s">
        <v>1002</v>
      </c>
      <c r="F454" s="104" t="s">
        <v>352</v>
      </c>
      <c r="G454" s="400" t="s">
        <v>891</v>
      </c>
      <c r="H454" s="426" t="s">
        <v>348</v>
      </c>
      <c r="I454" s="398">
        <v>122880000</v>
      </c>
      <c r="J454" s="153" t="s">
        <v>346</v>
      </c>
      <c r="K454" s="178" t="s">
        <v>1003</v>
      </c>
      <c r="L454" s="99" t="s">
        <v>860</v>
      </c>
      <c r="M454" s="97"/>
      <c r="N454" s="97">
        <v>2026</v>
      </c>
      <c r="O454" s="258"/>
    </row>
    <row r="455" spans="2:15" customFormat="1">
      <c r="B455" s="104"/>
      <c r="C455" s="104" t="s">
        <v>373</v>
      </c>
      <c r="D455" s="378" t="e" cm="1">
        <f t="array" aca="1" ref="D45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55" s="99" t="s">
        <v>1002</v>
      </c>
      <c r="F455" s="104" t="s">
        <v>352</v>
      </c>
      <c r="G455" s="400" t="s">
        <v>891</v>
      </c>
      <c r="H455" s="426" t="s">
        <v>348</v>
      </c>
      <c r="I455" s="398">
        <v>62276000</v>
      </c>
      <c r="J455" s="153" t="s">
        <v>346</v>
      </c>
      <c r="K455" s="178" t="s">
        <v>1003</v>
      </c>
      <c r="L455" s="99" t="s">
        <v>860</v>
      </c>
      <c r="M455" s="97"/>
      <c r="N455" s="97">
        <v>2026</v>
      </c>
      <c r="O455" s="258"/>
    </row>
    <row r="456" spans="2:15" customFormat="1">
      <c r="B456" s="104"/>
      <c r="C456" s="104" t="s">
        <v>373</v>
      </c>
      <c r="D456" s="378" t="e" cm="1">
        <f t="array" aca="1" ref="D45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56" s="99" t="s">
        <v>1002</v>
      </c>
      <c r="F456" s="104" t="s">
        <v>352</v>
      </c>
      <c r="G456" s="400" t="s">
        <v>891</v>
      </c>
      <c r="H456" s="426" t="s">
        <v>348</v>
      </c>
      <c r="I456" s="398">
        <v>115000000</v>
      </c>
      <c r="J456" s="153" t="s">
        <v>346</v>
      </c>
      <c r="K456" s="178" t="s">
        <v>1003</v>
      </c>
      <c r="L456" s="99" t="s">
        <v>860</v>
      </c>
      <c r="M456" s="97"/>
      <c r="N456" s="97">
        <v>2026</v>
      </c>
      <c r="O456" s="258"/>
    </row>
    <row r="457" spans="2:15" customFormat="1">
      <c r="B457" s="104"/>
      <c r="C457" s="104" t="s">
        <v>373</v>
      </c>
      <c r="D457" s="378" t="e" cm="1">
        <f t="array" aca="1" ref="D45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57" s="400" t="s">
        <v>1002</v>
      </c>
      <c r="F457" s="104" t="s">
        <v>352</v>
      </c>
      <c r="G457" s="400" t="s">
        <v>891</v>
      </c>
      <c r="H457" s="426" t="s">
        <v>348</v>
      </c>
      <c r="I457" s="398">
        <v>52860000</v>
      </c>
      <c r="J457" s="153" t="s">
        <v>346</v>
      </c>
      <c r="K457" s="178" t="s">
        <v>1003</v>
      </c>
      <c r="L457" s="99" t="s">
        <v>860</v>
      </c>
      <c r="M457" s="97"/>
      <c r="N457" s="97">
        <v>2026</v>
      </c>
      <c r="O457" s="258"/>
    </row>
    <row r="458" spans="2:15" customFormat="1">
      <c r="B458" s="104"/>
      <c r="C458" s="104" t="s">
        <v>373</v>
      </c>
      <c r="D458" s="378" t="e" cm="1">
        <f t="array" aca="1" ref="D45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58" s="400" t="s">
        <v>1002</v>
      </c>
      <c r="F458" s="104" t="s">
        <v>352</v>
      </c>
      <c r="G458" s="400" t="s">
        <v>891</v>
      </c>
      <c r="H458" s="426" t="s">
        <v>348</v>
      </c>
      <c r="I458" s="398">
        <v>146088000</v>
      </c>
      <c r="J458" s="153" t="s">
        <v>346</v>
      </c>
      <c r="K458" s="178" t="s">
        <v>1003</v>
      </c>
      <c r="L458" s="99" t="s">
        <v>860</v>
      </c>
      <c r="M458" s="97"/>
      <c r="N458" s="97">
        <v>2026</v>
      </c>
      <c r="O458" s="258"/>
    </row>
    <row r="459" spans="2:15" customFormat="1">
      <c r="B459" s="104"/>
      <c r="C459" s="104" t="s">
        <v>420</v>
      </c>
      <c r="D459" s="378" t="e" cm="1">
        <f t="array" aca="1" ref="D45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59" s="400" t="s">
        <v>1004</v>
      </c>
      <c r="F459" s="104" t="s">
        <v>352</v>
      </c>
      <c r="G459" s="400" t="s">
        <v>891</v>
      </c>
      <c r="H459" s="426" t="s">
        <v>353</v>
      </c>
      <c r="I459" s="395">
        <v>618000000</v>
      </c>
      <c r="J459" s="153" t="s">
        <v>346</v>
      </c>
      <c r="K459" s="178" t="s">
        <v>1005</v>
      </c>
      <c r="L459" s="99" t="s">
        <v>922</v>
      </c>
      <c r="M459" s="97"/>
      <c r="N459" s="97">
        <v>2026</v>
      </c>
      <c r="O459" s="258"/>
    </row>
    <row r="460" spans="2:15" customFormat="1">
      <c r="B460" s="104"/>
      <c r="C460" s="104" t="s">
        <v>574</v>
      </c>
      <c r="D460" s="378" t="e" cm="1">
        <f t="array" aca="1" ref="D46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60" s="400" t="s">
        <v>1006</v>
      </c>
      <c r="F460" s="104" t="s">
        <v>352</v>
      </c>
      <c r="G460" s="400" t="s">
        <v>891</v>
      </c>
      <c r="H460" s="426" t="s">
        <v>353</v>
      </c>
      <c r="I460" s="395">
        <v>175800000</v>
      </c>
      <c r="J460" s="153" t="s">
        <v>346</v>
      </c>
      <c r="K460" s="178" t="s">
        <v>1005</v>
      </c>
      <c r="L460" s="99" t="s">
        <v>922</v>
      </c>
      <c r="M460" s="97"/>
      <c r="N460" s="97">
        <v>2026</v>
      </c>
      <c r="O460" s="258"/>
    </row>
    <row r="461" spans="2:15" customFormat="1">
      <c r="B461" s="104"/>
      <c r="C461" s="104" t="s">
        <v>373</v>
      </c>
      <c r="D461" s="378" t="e" cm="1">
        <f t="array" aca="1" ref="D46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61" s="400" t="s">
        <v>994</v>
      </c>
      <c r="F461" s="104" t="s">
        <v>352</v>
      </c>
      <c r="G461" s="400" t="s">
        <v>891</v>
      </c>
      <c r="H461" s="426" t="s">
        <v>355</v>
      </c>
      <c r="I461" s="395">
        <v>127600000</v>
      </c>
      <c r="J461" s="153" t="s">
        <v>349</v>
      </c>
      <c r="K461" s="178" t="s">
        <v>884</v>
      </c>
      <c r="L461" s="99" t="s">
        <v>858</v>
      </c>
      <c r="M461" s="97"/>
      <c r="N461" s="97">
        <v>2026</v>
      </c>
      <c r="O461" s="258"/>
    </row>
    <row r="462" spans="2:15" customFormat="1">
      <c r="B462" s="104"/>
      <c r="C462" s="104" t="s">
        <v>396</v>
      </c>
      <c r="D462" s="378" t="e" cm="1">
        <f t="array" aca="1" ref="D46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62" s="400" t="s">
        <v>1007</v>
      </c>
      <c r="F462" s="104" t="s">
        <v>352</v>
      </c>
      <c r="G462" s="400" t="s">
        <v>891</v>
      </c>
      <c r="H462" s="426" t="s">
        <v>351</v>
      </c>
      <c r="I462" s="395">
        <v>57000000</v>
      </c>
      <c r="J462" s="153" t="s">
        <v>349</v>
      </c>
      <c r="K462" s="178" t="s">
        <v>919</v>
      </c>
      <c r="L462" s="99" t="s">
        <v>860</v>
      </c>
      <c r="M462" s="97"/>
      <c r="N462" s="97">
        <v>2026</v>
      </c>
      <c r="O462" s="258"/>
    </row>
    <row r="463" spans="2:15" customFormat="1">
      <c r="B463" s="104"/>
      <c r="C463" s="104" t="s">
        <v>415</v>
      </c>
      <c r="D463" s="378" t="e" cm="1">
        <f t="array" aca="1" ref="D46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63" s="400" t="s">
        <v>1008</v>
      </c>
      <c r="F463" s="104" t="s">
        <v>352</v>
      </c>
      <c r="G463" s="400" t="s">
        <v>894</v>
      </c>
      <c r="H463" s="426" t="s">
        <v>355</v>
      </c>
      <c r="I463" s="395">
        <v>438990000</v>
      </c>
      <c r="J463" s="153" t="s">
        <v>346</v>
      </c>
      <c r="K463" s="178" t="s">
        <v>1009</v>
      </c>
      <c r="L463" s="99" t="s">
        <v>1010</v>
      </c>
      <c r="M463" s="97"/>
      <c r="N463" s="97">
        <v>2026</v>
      </c>
      <c r="O463" s="258"/>
    </row>
    <row r="464" spans="2:15" customFormat="1">
      <c r="B464" s="104"/>
      <c r="C464" s="104" t="s">
        <v>411</v>
      </c>
      <c r="D464" s="378" t="e" cm="1">
        <f t="array" aca="1" ref="D46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64" s="400" t="s">
        <v>1011</v>
      </c>
      <c r="F464" s="104" t="s">
        <v>352</v>
      </c>
      <c r="G464" s="400" t="s">
        <v>894</v>
      </c>
      <c r="H464" s="426" t="s">
        <v>355</v>
      </c>
      <c r="I464" s="395">
        <v>21993300</v>
      </c>
      <c r="J464" s="153" t="s">
        <v>346</v>
      </c>
      <c r="K464" s="178" t="s">
        <v>1012</v>
      </c>
      <c r="L464" s="99" t="s">
        <v>860</v>
      </c>
      <c r="M464" s="97"/>
      <c r="N464" s="97">
        <v>2026</v>
      </c>
      <c r="O464" s="258"/>
    </row>
    <row r="465" spans="2:15" customFormat="1">
      <c r="B465" s="104"/>
      <c r="C465" s="104" t="s">
        <v>530</v>
      </c>
      <c r="D465" s="378" t="e" cm="1">
        <f t="array" aca="1" ref="D46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65" s="400" t="s">
        <v>947</v>
      </c>
      <c r="F465" s="104" t="s">
        <v>352</v>
      </c>
      <c r="G465" s="400" t="s">
        <v>894</v>
      </c>
      <c r="H465" s="426" t="s">
        <v>345</v>
      </c>
      <c r="I465" s="395">
        <v>91651970</v>
      </c>
      <c r="J465" s="153" t="s">
        <v>349</v>
      </c>
      <c r="K465" s="178" t="s">
        <v>919</v>
      </c>
      <c r="L465" s="99" t="s">
        <v>858</v>
      </c>
      <c r="M465" s="97"/>
      <c r="N465" s="97">
        <v>2026</v>
      </c>
      <c r="O465" s="258"/>
    </row>
    <row r="466" spans="2:15" customFormat="1">
      <c r="B466" s="104"/>
      <c r="C466" s="104" t="s">
        <v>396</v>
      </c>
      <c r="D466" s="378" t="e" cm="1">
        <f t="array" aca="1" ref="D46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66" s="400" t="s">
        <v>918</v>
      </c>
      <c r="F466" s="104" t="s">
        <v>352</v>
      </c>
      <c r="G466" s="400" t="s">
        <v>894</v>
      </c>
      <c r="H466" s="426" t="s">
        <v>348</v>
      </c>
      <c r="I466" s="395">
        <v>367250000</v>
      </c>
      <c r="J466" s="153" t="s">
        <v>349</v>
      </c>
      <c r="K466" s="178" t="s">
        <v>919</v>
      </c>
      <c r="L466" s="99" t="s">
        <v>858</v>
      </c>
      <c r="M466" s="97"/>
      <c r="N466" s="97">
        <v>2026</v>
      </c>
      <c r="O466" s="258"/>
    </row>
    <row r="467" spans="2:15" customFormat="1">
      <c r="B467" s="104"/>
      <c r="C467" s="104" t="s">
        <v>396</v>
      </c>
      <c r="D467" s="378" t="e" cm="1">
        <f t="array" aca="1" ref="D46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67" s="400" t="s">
        <v>918</v>
      </c>
      <c r="F467" s="104" t="s">
        <v>352</v>
      </c>
      <c r="G467" s="400" t="s">
        <v>894</v>
      </c>
      <c r="H467" s="426" t="s">
        <v>351</v>
      </c>
      <c r="I467" s="395">
        <v>367250000</v>
      </c>
      <c r="J467" s="153" t="s">
        <v>349</v>
      </c>
      <c r="K467" s="178" t="s">
        <v>919</v>
      </c>
      <c r="L467" s="99" t="s">
        <v>858</v>
      </c>
      <c r="M467" s="97"/>
      <c r="N467" s="97">
        <v>2026</v>
      </c>
      <c r="O467" s="258"/>
    </row>
    <row r="468" spans="2:15" customFormat="1">
      <c r="B468" s="104"/>
      <c r="C468" s="104" t="s">
        <v>396</v>
      </c>
      <c r="D468" s="378" t="e" cm="1">
        <f t="array" aca="1" ref="D46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68" s="400" t="s">
        <v>918</v>
      </c>
      <c r="F468" s="104" t="s">
        <v>352</v>
      </c>
      <c r="G468" s="400" t="s">
        <v>894</v>
      </c>
      <c r="H468" s="426" t="s">
        <v>353</v>
      </c>
      <c r="I468" s="395">
        <v>367250000</v>
      </c>
      <c r="J468" s="153" t="s">
        <v>349</v>
      </c>
      <c r="K468" s="178" t="s">
        <v>919</v>
      </c>
      <c r="L468" s="99" t="s">
        <v>858</v>
      </c>
      <c r="M468" s="97"/>
      <c r="N468" s="97">
        <v>2026</v>
      </c>
      <c r="O468" s="258"/>
    </row>
    <row r="469" spans="2:15" customFormat="1">
      <c r="B469" s="104"/>
      <c r="C469" s="104" t="s">
        <v>396</v>
      </c>
      <c r="D469" s="378" t="e" cm="1">
        <f t="array" aca="1" ref="D46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69" s="400" t="s">
        <v>918</v>
      </c>
      <c r="F469" s="104" t="s">
        <v>352</v>
      </c>
      <c r="G469" s="400" t="s">
        <v>894</v>
      </c>
      <c r="H469" s="426" t="s">
        <v>355</v>
      </c>
      <c r="I469" s="395">
        <v>367250000</v>
      </c>
      <c r="J469" s="153" t="s">
        <v>343</v>
      </c>
      <c r="K469" s="178" t="s">
        <v>919</v>
      </c>
      <c r="L469" s="99" t="s">
        <v>858</v>
      </c>
      <c r="M469" s="97"/>
      <c r="N469" s="97">
        <v>2026</v>
      </c>
      <c r="O469" s="258"/>
    </row>
    <row r="470" spans="2:15" customFormat="1">
      <c r="B470" s="104"/>
      <c r="C470" s="104" t="s">
        <v>624</v>
      </c>
      <c r="D470" s="378" t="e" cm="1">
        <f t="array" aca="1" ref="D47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70" s="400" t="s">
        <v>1013</v>
      </c>
      <c r="F470" s="104" t="s">
        <v>352</v>
      </c>
      <c r="G470" s="400" t="s">
        <v>894</v>
      </c>
      <c r="H470" s="426" t="s">
        <v>348</v>
      </c>
      <c r="I470" s="395">
        <v>115166677</v>
      </c>
      <c r="J470" s="153" t="s">
        <v>346</v>
      </c>
      <c r="K470" s="178" t="s">
        <v>919</v>
      </c>
      <c r="L470" s="99" t="s">
        <v>858</v>
      </c>
      <c r="M470" s="97"/>
      <c r="N470" s="97">
        <v>2026</v>
      </c>
      <c r="O470" s="258"/>
    </row>
    <row r="471" spans="2:15" customFormat="1">
      <c r="B471" s="104"/>
      <c r="C471" s="104" t="s">
        <v>624</v>
      </c>
      <c r="D471" s="378" t="e" cm="1">
        <f t="array" aca="1" ref="D47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71" s="400" t="s">
        <v>1013</v>
      </c>
      <c r="F471" s="104" t="s">
        <v>352</v>
      </c>
      <c r="G471" s="400" t="s">
        <v>894</v>
      </c>
      <c r="H471" s="426" t="s">
        <v>351</v>
      </c>
      <c r="I471" s="395">
        <v>115166677</v>
      </c>
      <c r="J471" s="153" t="s">
        <v>346</v>
      </c>
      <c r="K471" s="178" t="s">
        <v>919</v>
      </c>
      <c r="L471" s="99" t="s">
        <v>858</v>
      </c>
      <c r="M471" s="97"/>
      <c r="N471" s="97">
        <v>2026</v>
      </c>
      <c r="O471" s="258"/>
    </row>
    <row r="472" spans="2:15" customFormat="1">
      <c r="B472" s="104"/>
      <c r="C472" s="104" t="s">
        <v>567</v>
      </c>
      <c r="D472" s="378" t="e" cm="1">
        <f t="array" aca="1" ref="D47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72" s="400" t="s">
        <v>1014</v>
      </c>
      <c r="F472" s="104" t="s">
        <v>352</v>
      </c>
      <c r="G472" s="400" t="s">
        <v>894</v>
      </c>
      <c r="H472" s="426" t="s">
        <v>351</v>
      </c>
      <c r="I472" s="395">
        <v>284499963</v>
      </c>
      <c r="J472" s="153" t="s">
        <v>346</v>
      </c>
      <c r="K472" s="178" t="s">
        <v>919</v>
      </c>
      <c r="L472" s="99" t="s">
        <v>922</v>
      </c>
      <c r="M472" s="97"/>
      <c r="N472" s="97">
        <v>2026</v>
      </c>
      <c r="O472" s="258"/>
    </row>
    <row r="473" spans="2:15" customFormat="1">
      <c r="B473" s="104"/>
      <c r="C473" s="104" t="s">
        <v>530</v>
      </c>
      <c r="D473" s="378" t="e" cm="1">
        <f t="array" aca="1" ref="D47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73" s="400" t="s">
        <v>947</v>
      </c>
      <c r="F473" s="104" t="s">
        <v>352</v>
      </c>
      <c r="G473" s="400" t="s">
        <v>891</v>
      </c>
      <c r="H473" s="426" t="s">
        <v>348</v>
      </c>
      <c r="I473" s="395">
        <v>91519073</v>
      </c>
      <c r="J473" s="153" t="s">
        <v>346</v>
      </c>
      <c r="K473" s="178" t="s">
        <v>919</v>
      </c>
      <c r="L473" s="99" t="s">
        <v>858</v>
      </c>
      <c r="M473" s="97"/>
      <c r="N473" s="97">
        <v>2026</v>
      </c>
      <c r="O473" s="258"/>
    </row>
    <row r="474" spans="2:15" customFormat="1">
      <c r="B474" s="104"/>
      <c r="C474" s="104" t="s">
        <v>530</v>
      </c>
      <c r="D474" s="218" t="e" cm="1">
        <f t="array" aca="1" ref="D47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74" s="400" t="s">
        <v>947</v>
      </c>
      <c r="F474" s="104" t="s">
        <v>352</v>
      </c>
      <c r="G474" s="400" t="s">
        <v>891</v>
      </c>
      <c r="H474" s="426" t="s">
        <v>351</v>
      </c>
      <c r="I474" s="395">
        <v>91370634</v>
      </c>
      <c r="J474" s="153" t="s">
        <v>346</v>
      </c>
      <c r="K474" s="178" t="s">
        <v>919</v>
      </c>
      <c r="L474" s="99" t="s">
        <v>858</v>
      </c>
      <c r="M474" s="97"/>
      <c r="N474" s="244"/>
      <c r="O474" s="258"/>
    </row>
    <row r="475" spans="2:15" customFormat="1">
      <c r="B475" s="104"/>
      <c r="C475" s="104" t="s">
        <v>530</v>
      </c>
      <c r="D475" s="218" t="e" cm="1">
        <f t="array" aca="1" ref="D47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75" s="400" t="s">
        <v>947</v>
      </c>
      <c r="F475" s="104" t="s">
        <v>352</v>
      </c>
      <c r="G475" s="400" t="s">
        <v>891</v>
      </c>
      <c r="H475" s="426" t="s">
        <v>353</v>
      </c>
      <c r="I475" s="395">
        <v>91604334</v>
      </c>
      <c r="J475" s="153" t="s">
        <v>346</v>
      </c>
      <c r="K475" s="178" t="s">
        <v>919</v>
      </c>
      <c r="L475" s="99" t="s">
        <v>1015</v>
      </c>
      <c r="M475" s="97"/>
      <c r="N475" s="244"/>
      <c r="O475" s="258"/>
    </row>
    <row r="476" spans="2:15" customFormat="1">
      <c r="B476" s="104"/>
      <c r="C476" s="104" t="s">
        <v>411</v>
      </c>
      <c r="D476" s="378" t="e" cm="1">
        <f t="array" aca="1" ref="D47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76" s="400" t="s">
        <v>995</v>
      </c>
      <c r="F476" s="104" t="s">
        <v>352</v>
      </c>
      <c r="G476" s="400" t="s">
        <v>891</v>
      </c>
      <c r="H476" s="426" t="s">
        <v>351</v>
      </c>
      <c r="I476" s="395">
        <v>98500000</v>
      </c>
      <c r="J476" s="153" t="s">
        <v>346</v>
      </c>
      <c r="K476" s="178" t="s">
        <v>996</v>
      </c>
      <c r="L476" s="99" t="s">
        <v>860</v>
      </c>
      <c r="M476" s="97"/>
      <c r="N476" s="97">
        <v>2026</v>
      </c>
      <c r="O476" s="258"/>
    </row>
    <row r="477" spans="2:15" customFormat="1">
      <c r="B477" s="104"/>
      <c r="C477" s="104" t="s">
        <v>614</v>
      </c>
      <c r="D477" s="378" t="e" cm="1">
        <f t="array" aca="1" ref="D47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77" s="400" t="s">
        <v>910</v>
      </c>
      <c r="F477" s="104" t="s">
        <v>352</v>
      </c>
      <c r="G477" s="400" t="s">
        <v>891</v>
      </c>
      <c r="H477" s="426" t="s">
        <v>356</v>
      </c>
      <c r="I477" s="395">
        <v>2449324</v>
      </c>
      <c r="J477" s="153" t="s">
        <v>346</v>
      </c>
      <c r="K477" s="178" t="s">
        <v>911</v>
      </c>
      <c r="L477" s="414" t="s">
        <v>858</v>
      </c>
      <c r="M477" s="97"/>
      <c r="N477" s="97">
        <v>2026</v>
      </c>
      <c r="O477" s="258"/>
    </row>
    <row r="478" spans="2:15" customFormat="1">
      <c r="B478" s="104"/>
      <c r="C478" s="104" t="s">
        <v>539</v>
      </c>
      <c r="D478" s="378" t="e" cm="1">
        <f t="array" aca="1" ref="D47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78" s="400" t="s">
        <v>910</v>
      </c>
      <c r="F478" s="104" t="s">
        <v>352</v>
      </c>
      <c r="G478" s="400" t="s">
        <v>891</v>
      </c>
      <c r="H478" s="426" t="s">
        <v>353</v>
      </c>
      <c r="I478" s="395">
        <v>705000</v>
      </c>
      <c r="J478" s="153" t="s">
        <v>349</v>
      </c>
      <c r="K478" s="178" t="s">
        <v>911</v>
      </c>
      <c r="L478" s="99" t="s">
        <v>858</v>
      </c>
      <c r="M478" s="97"/>
      <c r="N478" s="97">
        <v>2026</v>
      </c>
      <c r="O478" s="258"/>
    </row>
    <row r="479" spans="2:15" customFormat="1">
      <c r="B479" s="104"/>
      <c r="C479" s="104" t="s">
        <v>539</v>
      </c>
      <c r="D479" s="378" t="e" cm="1">
        <f t="array" aca="1" ref="D47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79" s="400" t="s">
        <v>910</v>
      </c>
      <c r="F479" s="104" t="s">
        <v>352</v>
      </c>
      <c r="G479" s="400" t="s">
        <v>891</v>
      </c>
      <c r="H479" s="426" t="s">
        <v>355</v>
      </c>
      <c r="I479" s="395">
        <v>705000</v>
      </c>
      <c r="J479" s="153" t="s">
        <v>349</v>
      </c>
      <c r="K479" s="178" t="s">
        <v>911</v>
      </c>
      <c r="L479" s="99" t="s">
        <v>858</v>
      </c>
      <c r="M479" s="97"/>
      <c r="N479" s="97">
        <v>2026</v>
      </c>
      <c r="O479" s="258"/>
    </row>
    <row r="480" spans="2:15" customFormat="1">
      <c r="B480" s="104"/>
      <c r="C480" s="104" t="s">
        <v>414</v>
      </c>
      <c r="D480" s="378" t="e" cm="1">
        <f t="array" aca="1" ref="D48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80" s="99" t="s">
        <v>902</v>
      </c>
      <c r="F480" s="104" t="s">
        <v>352</v>
      </c>
      <c r="G480" s="400" t="s">
        <v>891</v>
      </c>
      <c r="H480" s="426" t="s">
        <v>353</v>
      </c>
      <c r="I480" s="395">
        <v>82812200</v>
      </c>
      <c r="J480" s="153" t="s">
        <v>346</v>
      </c>
      <c r="K480" s="96" t="s">
        <v>903</v>
      </c>
      <c r="L480" s="99" t="s">
        <v>858</v>
      </c>
      <c r="M480" s="97"/>
      <c r="N480" s="97">
        <v>2026</v>
      </c>
      <c r="O480" s="258"/>
    </row>
    <row r="481" spans="2:15" customFormat="1">
      <c r="B481" s="104"/>
      <c r="C481" s="104" t="s">
        <v>414</v>
      </c>
      <c r="D481" s="218" t="e" cm="1">
        <f t="array" aca="1" ref="D48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81" s="9" t="s">
        <v>902</v>
      </c>
      <c r="F481" s="104" t="s">
        <v>352</v>
      </c>
      <c r="G481" s="400" t="s">
        <v>891</v>
      </c>
      <c r="H481" s="426" t="s">
        <v>355</v>
      </c>
      <c r="I481" s="395">
        <v>82812200</v>
      </c>
      <c r="J481" s="153" t="s">
        <v>346</v>
      </c>
      <c r="K481" s="96"/>
      <c r="L481" s="99"/>
      <c r="M481" s="97"/>
      <c r="N481" s="244"/>
      <c r="O481" s="258"/>
    </row>
    <row r="482" spans="2:15" customFormat="1">
      <c r="B482" s="104"/>
      <c r="C482" s="104" t="s">
        <v>373</v>
      </c>
      <c r="D482" s="378" t="e" cm="1">
        <f t="array" aca="1" ref="D48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82" s="99" t="s">
        <v>942</v>
      </c>
      <c r="F482" s="104" t="s">
        <v>352</v>
      </c>
      <c r="G482" s="400" t="s">
        <v>894</v>
      </c>
      <c r="H482" s="426" t="s">
        <v>353</v>
      </c>
      <c r="I482" s="398" t="s">
        <v>1016</v>
      </c>
      <c r="J482" s="153" t="s">
        <v>349</v>
      </c>
      <c r="K482" s="453" t="s">
        <v>943</v>
      </c>
      <c r="L482" s="99" t="s">
        <v>858</v>
      </c>
      <c r="M482" s="97" t="s">
        <v>976</v>
      </c>
      <c r="N482" s="97">
        <v>2026</v>
      </c>
      <c r="O482" s="258"/>
    </row>
    <row r="483" spans="2:15" customFormat="1">
      <c r="B483" s="104"/>
      <c r="C483" s="104" t="s">
        <v>619</v>
      </c>
      <c r="D483" s="378" t="e" cm="1">
        <f t="array" aca="1" ref="D48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83" s="400" t="s">
        <v>990</v>
      </c>
      <c r="F483" s="104" t="s">
        <v>352</v>
      </c>
      <c r="G483" s="400" t="s">
        <v>891</v>
      </c>
      <c r="H483" s="426" t="s">
        <v>355</v>
      </c>
      <c r="I483" s="395">
        <v>0</v>
      </c>
      <c r="J483" s="153" t="s">
        <v>343</v>
      </c>
      <c r="K483" s="178" t="s">
        <v>961</v>
      </c>
      <c r="L483" s="99" t="s">
        <v>858</v>
      </c>
      <c r="M483" s="97"/>
      <c r="N483" s="97">
        <v>2026</v>
      </c>
      <c r="O483" s="258"/>
    </row>
    <row r="484" spans="2:15" customFormat="1">
      <c r="B484" s="104"/>
      <c r="C484" s="104" t="s">
        <v>606</v>
      </c>
      <c r="D484" s="378" t="e" cm="1">
        <f t="array" aca="1" ref="D48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84" s="99" t="s">
        <v>906</v>
      </c>
      <c r="F484" s="104" t="s">
        <v>352</v>
      </c>
      <c r="G484" s="400" t="s">
        <v>891</v>
      </c>
      <c r="H484" s="426" t="s">
        <v>348</v>
      </c>
      <c r="I484" s="395">
        <v>52032552</v>
      </c>
      <c r="J484" s="153" t="s">
        <v>346</v>
      </c>
      <c r="K484" s="96" t="s">
        <v>33</v>
      </c>
      <c r="L484" s="99" t="s">
        <v>858</v>
      </c>
      <c r="M484" s="97"/>
      <c r="N484" s="97">
        <v>2026</v>
      </c>
      <c r="O484" s="258"/>
    </row>
    <row r="485" spans="2:15" customFormat="1">
      <c r="B485" s="104"/>
      <c r="C485" s="104" t="s">
        <v>606</v>
      </c>
      <c r="D485" s="378" t="e" cm="1">
        <f t="array" aca="1" ref="D48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85" s="99" t="s">
        <v>906</v>
      </c>
      <c r="F485" s="104" t="s">
        <v>352</v>
      </c>
      <c r="G485" s="400" t="s">
        <v>891</v>
      </c>
      <c r="H485" s="426" t="s">
        <v>351</v>
      </c>
      <c r="I485" s="395">
        <v>52032552</v>
      </c>
      <c r="J485" s="153" t="s">
        <v>346</v>
      </c>
      <c r="K485" s="96" t="s">
        <v>33</v>
      </c>
      <c r="L485" s="99" t="s">
        <v>858</v>
      </c>
      <c r="M485" s="97"/>
      <c r="N485" s="97">
        <v>2026</v>
      </c>
      <c r="O485" s="258"/>
    </row>
    <row r="486" spans="2:15" customFormat="1">
      <c r="B486" s="104"/>
      <c r="C486" s="104" t="s">
        <v>606</v>
      </c>
      <c r="D486" s="378" t="e" cm="1">
        <f t="array" aca="1" ref="D48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86" s="400" t="s">
        <v>906</v>
      </c>
      <c r="F486" s="104" t="s">
        <v>352</v>
      </c>
      <c r="G486" s="400" t="s">
        <v>891</v>
      </c>
      <c r="H486" s="426" t="s">
        <v>353</v>
      </c>
      <c r="I486" s="395">
        <v>0</v>
      </c>
      <c r="J486" s="153" t="s">
        <v>343</v>
      </c>
      <c r="K486" s="96" t="s">
        <v>33</v>
      </c>
      <c r="L486" s="99" t="s">
        <v>858</v>
      </c>
      <c r="M486" s="97"/>
      <c r="N486" s="97">
        <v>2026</v>
      </c>
      <c r="O486" s="258"/>
    </row>
    <row r="487" spans="2:15" customFormat="1">
      <c r="B487" s="104"/>
      <c r="C487" s="104" t="s">
        <v>373</v>
      </c>
      <c r="D487" s="218" t="e" cm="1">
        <f t="array" aca="1" ref="D48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87" s="9" t="s">
        <v>942</v>
      </c>
      <c r="F487" s="104" t="s">
        <v>352</v>
      </c>
      <c r="G487" s="400" t="s">
        <v>894</v>
      </c>
      <c r="H487" s="426" t="s">
        <v>355</v>
      </c>
      <c r="I487" s="476" t="s">
        <v>1017</v>
      </c>
      <c r="J487" s="153" t="s">
        <v>349</v>
      </c>
      <c r="K487" s="178" t="s">
        <v>943</v>
      </c>
      <c r="L487" s="99" t="s">
        <v>858</v>
      </c>
      <c r="M487" s="97" t="s">
        <v>976</v>
      </c>
      <c r="N487" s="97">
        <v>2026</v>
      </c>
      <c r="O487" s="258"/>
    </row>
    <row r="488" spans="2:15" customFormat="1">
      <c r="B488" s="104"/>
      <c r="C488" s="104" t="s">
        <v>373</v>
      </c>
      <c r="D488" s="378" t="e" cm="1">
        <f t="array" aca="1" ref="D48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88" s="400" t="s">
        <v>1018</v>
      </c>
      <c r="F488" s="104" t="s">
        <v>352</v>
      </c>
      <c r="G488" s="400" t="s">
        <v>894</v>
      </c>
      <c r="H488" s="426" t="s">
        <v>342</v>
      </c>
      <c r="I488" s="395">
        <v>20075000</v>
      </c>
      <c r="J488" s="153" t="s">
        <v>349</v>
      </c>
      <c r="K488" s="178" t="s">
        <v>892</v>
      </c>
      <c r="L488" s="99" t="s">
        <v>858</v>
      </c>
      <c r="M488" s="97"/>
      <c r="N488" s="97">
        <v>2026</v>
      </c>
      <c r="O488" s="258"/>
    </row>
    <row r="489" spans="2:15" customFormat="1">
      <c r="B489" s="104"/>
      <c r="C489" s="104" t="s">
        <v>373</v>
      </c>
      <c r="D489" s="378" t="e" cm="1">
        <f t="array" aca="1" ref="D48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89" s="400" t="s">
        <v>1018</v>
      </c>
      <c r="F489" s="104" t="s">
        <v>352</v>
      </c>
      <c r="G489" s="400" t="s">
        <v>894</v>
      </c>
      <c r="H489" s="426" t="s">
        <v>345</v>
      </c>
      <c r="I489" s="395">
        <v>20050000</v>
      </c>
      <c r="J489" s="153" t="s">
        <v>349</v>
      </c>
      <c r="K489" s="178" t="s">
        <v>892</v>
      </c>
      <c r="L489" s="99" t="s">
        <v>858</v>
      </c>
      <c r="M489" s="97"/>
      <c r="N489" s="97">
        <v>2026</v>
      </c>
      <c r="O489" s="258"/>
    </row>
    <row r="490" spans="2:15" customFormat="1">
      <c r="B490" s="104"/>
      <c r="C490" s="104" t="s">
        <v>373</v>
      </c>
      <c r="D490" s="378" t="e" cm="1">
        <f t="array" aca="1" ref="D49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90" s="400" t="s">
        <v>1018</v>
      </c>
      <c r="F490" s="104" t="s">
        <v>352</v>
      </c>
      <c r="G490" s="400" t="s">
        <v>894</v>
      </c>
      <c r="H490" s="426" t="s">
        <v>348</v>
      </c>
      <c r="I490" s="395">
        <v>20525000</v>
      </c>
      <c r="J490" s="153" t="s">
        <v>349</v>
      </c>
      <c r="K490" s="178" t="s">
        <v>892</v>
      </c>
      <c r="L490" s="99" t="s">
        <v>858</v>
      </c>
      <c r="M490" s="97"/>
      <c r="N490" s="97">
        <v>2026</v>
      </c>
      <c r="O490" s="258"/>
    </row>
    <row r="491" spans="2:15" customFormat="1">
      <c r="B491" s="104"/>
      <c r="C491" s="104" t="s">
        <v>373</v>
      </c>
      <c r="D491" s="378" t="e" cm="1">
        <f t="array" aca="1" ref="D49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91" s="400" t="s">
        <v>1018</v>
      </c>
      <c r="F491" s="104" t="s">
        <v>352</v>
      </c>
      <c r="G491" s="400" t="s">
        <v>894</v>
      </c>
      <c r="H491" s="426" t="s">
        <v>351</v>
      </c>
      <c r="I491" s="395">
        <v>20500000</v>
      </c>
      <c r="J491" s="153" t="s">
        <v>349</v>
      </c>
      <c r="K491" s="178" t="s">
        <v>892</v>
      </c>
      <c r="L491" s="99" t="s">
        <v>858</v>
      </c>
      <c r="M491" s="97"/>
      <c r="N491" s="97">
        <v>2026</v>
      </c>
      <c r="O491" s="258"/>
    </row>
    <row r="492" spans="2:15" customFormat="1">
      <c r="B492" s="104"/>
      <c r="C492" s="104" t="s">
        <v>373</v>
      </c>
      <c r="D492" s="218" t="e" cm="1">
        <f t="array" aca="1" ref="D49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92" s="400" t="s">
        <v>1018</v>
      </c>
      <c r="F492" s="104" t="s">
        <v>352</v>
      </c>
      <c r="G492" s="400" t="s">
        <v>894</v>
      </c>
      <c r="H492" s="426" t="s">
        <v>353</v>
      </c>
      <c r="I492" s="395">
        <v>14081175</v>
      </c>
      <c r="J492" s="153" t="s">
        <v>346</v>
      </c>
      <c r="K492" s="178" t="s">
        <v>892</v>
      </c>
      <c r="L492" s="99" t="s">
        <v>858</v>
      </c>
      <c r="M492" s="97"/>
      <c r="N492" s="244">
        <v>2026</v>
      </c>
      <c r="O492" s="258"/>
    </row>
    <row r="493" spans="2:15" customFormat="1">
      <c r="B493" s="104"/>
      <c r="C493" s="104" t="s">
        <v>614</v>
      </c>
      <c r="D493" s="378" t="e" cm="1">
        <f t="array" aca="1" ref="D49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93" s="400" t="s">
        <v>1019</v>
      </c>
      <c r="F493" s="104" t="s">
        <v>352</v>
      </c>
      <c r="G493" s="400" t="s">
        <v>894</v>
      </c>
      <c r="H493" s="426" t="s">
        <v>342</v>
      </c>
      <c r="I493" s="395">
        <v>52531800</v>
      </c>
      <c r="J493" s="153" t="s">
        <v>349</v>
      </c>
      <c r="K493" s="178" t="s">
        <v>1020</v>
      </c>
      <c r="L493" s="99" t="s">
        <v>922</v>
      </c>
      <c r="M493" s="97"/>
      <c r="N493" s="97">
        <v>2026</v>
      </c>
      <c r="O493" s="258"/>
    </row>
    <row r="494" spans="2:15" customFormat="1">
      <c r="B494" s="104"/>
      <c r="C494" s="104" t="s">
        <v>614</v>
      </c>
      <c r="D494" s="378" t="e" cm="1">
        <f t="array" aca="1" ref="D49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94" s="400" t="s">
        <v>1019</v>
      </c>
      <c r="F494" s="104" t="s">
        <v>352</v>
      </c>
      <c r="G494" s="400" t="s">
        <v>894</v>
      </c>
      <c r="H494" s="426" t="s">
        <v>348</v>
      </c>
      <c r="I494" s="395">
        <v>52531800</v>
      </c>
      <c r="J494" s="153" t="s">
        <v>346</v>
      </c>
      <c r="K494" s="178" t="s">
        <v>1020</v>
      </c>
      <c r="L494" s="99" t="s">
        <v>922</v>
      </c>
      <c r="M494" s="97"/>
      <c r="N494" s="97">
        <v>2026</v>
      </c>
      <c r="O494" s="258"/>
    </row>
    <row r="495" spans="2:15" customFormat="1">
      <c r="B495" s="104"/>
      <c r="C495" s="104" t="s">
        <v>411</v>
      </c>
      <c r="D495" s="378" t="e" cm="1">
        <f t="array" aca="1" ref="D49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95" s="400" t="s">
        <v>1021</v>
      </c>
      <c r="F495" s="104" t="s">
        <v>352</v>
      </c>
      <c r="G495" s="400" t="s">
        <v>894</v>
      </c>
      <c r="H495" s="426" t="s">
        <v>355</v>
      </c>
      <c r="I495" s="395">
        <v>12800000</v>
      </c>
      <c r="J495" s="153" t="s">
        <v>346</v>
      </c>
      <c r="K495" s="178" t="s">
        <v>970</v>
      </c>
      <c r="L495" s="99" t="s">
        <v>860</v>
      </c>
      <c r="M495" s="97"/>
      <c r="N495" s="97">
        <v>2026</v>
      </c>
      <c r="O495" s="258"/>
    </row>
    <row r="496" spans="2:15" customFormat="1">
      <c r="B496" s="104"/>
      <c r="C496" s="104" t="s">
        <v>539</v>
      </c>
      <c r="D496" s="378" t="e" cm="1">
        <f t="array" aca="1" ref="D49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96" s="400" t="s">
        <v>910</v>
      </c>
      <c r="F496" s="104" t="s">
        <v>352</v>
      </c>
      <c r="G496" s="400" t="s">
        <v>894</v>
      </c>
      <c r="H496" s="426" t="s">
        <v>356</v>
      </c>
      <c r="I496" s="395">
        <v>705000</v>
      </c>
      <c r="J496" s="153" t="s">
        <v>346</v>
      </c>
      <c r="K496" s="178" t="s">
        <v>911</v>
      </c>
      <c r="L496" s="99" t="s">
        <v>858</v>
      </c>
      <c r="M496" s="97"/>
      <c r="N496" s="97">
        <v>2026</v>
      </c>
      <c r="O496" s="258"/>
    </row>
    <row r="497" spans="2:15" customFormat="1">
      <c r="B497" s="104"/>
      <c r="C497" s="104" t="s">
        <v>388</v>
      </c>
      <c r="D497" s="218" t="e" cm="1">
        <f t="array" aca="1" ref="D49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97" s="400" t="s">
        <v>1022</v>
      </c>
      <c r="F497" s="104" t="s">
        <v>352</v>
      </c>
      <c r="G497" s="400" t="s">
        <v>891</v>
      </c>
      <c r="H497" s="426" t="s">
        <v>355</v>
      </c>
      <c r="I497" s="395">
        <v>120000000</v>
      </c>
      <c r="J497" s="153" t="s">
        <v>349</v>
      </c>
      <c r="K497" s="178" t="s">
        <v>394</v>
      </c>
      <c r="L497" s="99" t="s">
        <v>860</v>
      </c>
      <c r="M497" s="97"/>
      <c r="N497" s="244">
        <v>2026</v>
      </c>
      <c r="O497" s="258"/>
    </row>
    <row r="498" spans="2:15" customFormat="1">
      <c r="B498" s="104"/>
      <c r="C498" s="104" t="s">
        <v>388</v>
      </c>
      <c r="D498" s="218" t="e" cm="1">
        <f t="array" aca="1" ref="D49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98" s="400" t="s">
        <v>1022</v>
      </c>
      <c r="F498" s="104" t="s">
        <v>352</v>
      </c>
      <c r="G498" s="400" t="s">
        <v>891</v>
      </c>
      <c r="H498" s="426" t="s">
        <v>355</v>
      </c>
      <c r="I498" s="395">
        <v>18000000</v>
      </c>
      <c r="J498" s="153" t="s">
        <v>349</v>
      </c>
      <c r="K498" s="178" t="s">
        <v>394</v>
      </c>
      <c r="L498" s="99" t="s">
        <v>860</v>
      </c>
      <c r="M498" s="97"/>
      <c r="N498" s="244">
        <v>2026</v>
      </c>
      <c r="O498" s="258"/>
    </row>
    <row r="499" spans="2:15" customFormat="1">
      <c r="B499" s="104"/>
      <c r="C499" s="104" t="s">
        <v>414</v>
      </c>
      <c r="D499" s="218" t="e" cm="1">
        <f t="array" aca="1" ref="D49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499" s="400" t="s">
        <v>902</v>
      </c>
      <c r="F499" s="104" t="s">
        <v>352</v>
      </c>
      <c r="G499" s="400" t="s">
        <v>894</v>
      </c>
      <c r="H499" s="426" t="s">
        <v>355</v>
      </c>
      <c r="I499" s="395">
        <v>82812200</v>
      </c>
      <c r="J499" s="153" t="s">
        <v>346</v>
      </c>
      <c r="K499" s="178" t="s">
        <v>903</v>
      </c>
      <c r="L499" s="99"/>
      <c r="M499" s="97"/>
      <c r="N499" s="244"/>
      <c r="O499" s="258"/>
    </row>
    <row r="500" spans="2:15" customFormat="1">
      <c r="B500" s="104"/>
      <c r="C500" s="104" t="s">
        <v>411</v>
      </c>
      <c r="D500" s="218" t="e" cm="1">
        <f t="array" aca="1" ref="D50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00" s="400" t="s">
        <v>985</v>
      </c>
      <c r="F500" s="104" t="s">
        <v>352</v>
      </c>
      <c r="G500" s="400" t="s">
        <v>891</v>
      </c>
      <c r="H500" s="426" t="s">
        <v>351</v>
      </c>
      <c r="I500" s="395">
        <v>40000000</v>
      </c>
      <c r="J500" s="153" t="s">
        <v>346</v>
      </c>
      <c r="K500" s="178" t="s">
        <v>986</v>
      </c>
      <c r="L500" s="99" t="s">
        <v>858</v>
      </c>
      <c r="M500" s="97"/>
      <c r="N500" s="244">
        <v>2026</v>
      </c>
      <c r="O500" s="258"/>
    </row>
    <row r="501" spans="2:15" customFormat="1">
      <c r="B501" s="104"/>
      <c r="C501" s="104" t="s">
        <v>411</v>
      </c>
      <c r="D501" s="218" t="e" cm="1">
        <f t="array" aca="1" ref="D50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01" s="400" t="s">
        <v>985</v>
      </c>
      <c r="F501" s="104" t="s">
        <v>352</v>
      </c>
      <c r="G501" s="400" t="s">
        <v>891</v>
      </c>
      <c r="H501" s="426" t="s">
        <v>353</v>
      </c>
      <c r="I501" s="395">
        <v>40000000</v>
      </c>
      <c r="J501" s="153" t="s">
        <v>346</v>
      </c>
      <c r="K501" s="178" t="s">
        <v>986</v>
      </c>
      <c r="L501" s="99" t="s">
        <v>858</v>
      </c>
      <c r="M501" s="97"/>
      <c r="N501" s="244">
        <v>2026</v>
      </c>
      <c r="O501" s="258"/>
    </row>
    <row r="502" spans="2:15" customFormat="1">
      <c r="B502" s="104"/>
      <c r="C502" s="104" t="s">
        <v>411</v>
      </c>
      <c r="D502" s="218" t="e" cm="1">
        <f t="array" aca="1" ref="D50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02" s="400" t="s">
        <v>985</v>
      </c>
      <c r="F502" s="104" t="s">
        <v>352</v>
      </c>
      <c r="G502" s="400" t="s">
        <v>891</v>
      </c>
      <c r="H502" s="426" t="s">
        <v>355</v>
      </c>
      <c r="I502" s="395">
        <v>40000000</v>
      </c>
      <c r="J502" s="153" t="s">
        <v>346</v>
      </c>
      <c r="K502" s="178" t="s">
        <v>986</v>
      </c>
      <c r="L502" s="99" t="s">
        <v>858</v>
      </c>
      <c r="M502" s="97"/>
      <c r="N502" s="244">
        <v>2026</v>
      </c>
      <c r="O502" s="258"/>
    </row>
    <row r="503" spans="2:15" customFormat="1">
      <c r="B503" s="104"/>
      <c r="C503" s="104" t="s">
        <v>411</v>
      </c>
      <c r="D503" s="218" t="e" cm="1">
        <f t="array" aca="1" ref="D50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03" s="400" t="s">
        <v>985</v>
      </c>
      <c r="F503" s="104" t="s">
        <v>352</v>
      </c>
      <c r="G503" s="400" t="s">
        <v>891</v>
      </c>
      <c r="H503" s="426" t="s">
        <v>356</v>
      </c>
      <c r="I503" s="395">
        <v>40000000</v>
      </c>
      <c r="J503" s="153" t="s">
        <v>346</v>
      </c>
      <c r="K503" s="178" t="s">
        <v>986</v>
      </c>
      <c r="L503" s="99" t="s">
        <v>858</v>
      </c>
      <c r="M503" s="97"/>
      <c r="N503" s="244">
        <v>2026</v>
      </c>
      <c r="O503" s="258"/>
    </row>
    <row r="504" spans="2:15" customFormat="1">
      <c r="B504" s="104"/>
      <c r="C504" s="104"/>
      <c r="D504" s="567"/>
      <c r="E504" s="400"/>
      <c r="F504" s="568" t="s">
        <v>352</v>
      </c>
      <c r="G504" s="400" t="s">
        <v>894</v>
      </c>
      <c r="H504" s="426"/>
      <c r="I504" s="395"/>
      <c r="J504" s="153"/>
      <c r="K504" s="178"/>
      <c r="L504" s="99"/>
      <c r="M504" s="97"/>
      <c r="N504" s="244"/>
      <c r="O504" s="258"/>
    </row>
    <row r="505" spans="2:15" customFormat="1">
      <c r="B505" s="104"/>
      <c r="C505" s="104"/>
      <c r="D505" s="218" t="e" cm="1">
        <f t="array" aca="1" ref="D50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05" s="400"/>
      <c r="F505" s="104"/>
      <c r="G505" s="400"/>
      <c r="H505" s="426"/>
      <c r="I505" s="395"/>
      <c r="J505" s="153"/>
      <c r="K505" s="178"/>
      <c r="L505" s="99"/>
      <c r="M505" s="97"/>
      <c r="N505" s="244"/>
      <c r="O505" s="258"/>
    </row>
    <row r="506" spans="2:15" customFormat="1">
      <c r="B506" s="104"/>
      <c r="C506" s="59"/>
      <c r="D506" s="218" t="e" cm="1">
        <f t="array" aca="1" ref="D50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06" s="56"/>
      <c r="F506" s="59"/>
      <c r="G506" s="56"/>
      <c r="H506" s="426"/>
      <c r="I506" s="395"/>
      <c r="J506" s="153"/>
      <c r="K506" s="178"/>
      <c r="L506" s="99"/>
      <c r="M506" s="97"/>
      <c r="N506" s="244"/>
      <c r="O506" s="258"/>
    </row>
    <row r="507" spans="2:15" customFormat="1">
      <c r="B507" s="104"/>
      <c r="C507" s="59"/>
      <c r="D507" s="218" t="e" cm="1">
        <f t="array" aca="1" ref="D50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07" s="56"/>
      <c r="F507" s="59"/>
      <c r="G507" s="56"/>
      <c r="H507" s="426"/>
      <c r="I507" s="395"/>
      <c r="J507" s="153"/>
      <c r="K507" s="178"/>
      <c r="L507" s="99"/>
      <c r="M507" s="97"/>
      <c r="N507" s="244"/>
      <c r="O507" s="258"/>
    </row>
    <row r="508" spans="2:15" customFormat="1">
      <c r="B508" s="104"/>
      <c r="C508" s="59"/>
      <c r="D508" s="218" t="e" cm="1">
        <f t="array" aca="1" ref="D50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08" s="56"/>
      <c r="F508" s="59"/>
      <c r="G508" s="56"/>
      <c r="H508" s="426"/>
      <c r="I508" s="395"/>
      <c r="J508" s="153"/>
      <c r="K508" s="178"/>
      <c r="L508" s="99"/>
      <c r="M508" s="97"/>
      <c r="N508" s="244"/>
      <c r="O508" s="258"/>
    </row>
    <row r="509" spans="2:15" customFormat="1">
      <c r="B509" s="104"/>
      <c r="C509" s="104"/>
      <c r="D509" s="218" t="e" cm="1">
        <f t="array" aca="1" ref="D50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09" s="400"/>
      <c r="F509" s="104"/>
      <c r="G509" s="400"/>
      <c r="H509" s="426"/>
      <c r="I509" s="395"/>
      <c r="J509" s="153"/>
      <c r="K509" s="178"/>
      <c r="L509" s="99"/>
      <c r="M509" s="97"/>
      <c r="N509" s="244"/>
      <c r="O509" s="258"/>
    </row>
    <row r="510" spans="2:15" s="63" customFormat="1">
      <c r="B510" s="335"/>
      <c r="C510" s="403" t="s">
        <v>1023</v>
      </c>
      <c r="D510" s="404" t="s">
        <v>1024</v>
      </c>
      <c r="E510" s="406" t="s">
        <v>1025</v>
      </c>
      <c r="F510" s="335" t="s">
        <v>350</v>
      </c>
      <c r="G510" s="406" t="s">
        <v>1026</v>
      </c>
      <c r="H510" s="431" t="s">
        <v>342</v>
      </c>
      <c r="I510" s="398">
        <v>26000000</v>
      </c>
      <c r="J510" s="336" t="s">
        <v>349</v>
      </c>
      <c r="K510" s="403" t="s">
        <v>1027</v>
      </c>
      <c r="L510" s="406"/>
      <c r="M510" s="405"/>
      <c r="N510" s="405">
        <v>2026</v>
      </c>
      <c r="O510" s="497"/>
    </row>
    <row r="511" spans="2:15" customFormat="1">
      <c r="B511" s="104"/>
      <c r="C511" s="96" t="s">
        <v>643</v>
      </c>
      <c r="D511" s="378" t="e" cm="1">
        <f t="array" aca="1" ref="D51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11" s="99" t="s">
        <v>1028</v>
      </c>
      <c r="F511" s="104" t="s">
        <v>350</v>
      </c>
      <c r="G511" s="99" t="s">
        <v>1026</v>
      </c>
      <c r="H511" s="428" t="s">
        <v>342</v>
      </c>
      <c r="I511" s="395"/>
      <c r="J511" s="105"/>
      <c r="K511" s="96" t="s">
        <v>1029</v>
      </c>
      <c r="L511" s="99"/>
      <c r="M511" s="97"/>
      <c r="N511" s="97">
        <v>2026</v>
      </c>
      <c r="O511" s="258"/>
    </row>
    <row r="512" spans="2:15" s="63" customFormat="1">
      <c r="B512" s="335"/>
      <c r="C512" s="403" t="s">
        <v>335</v>
      </c>
      <c r="D512" s="404" t="s">
        <v>1030</v>
      </c>
      <c r="E512" s="406" t="s">
        <v>1031</v>
      </c>
      <c r="F512" s="403" t="s">
        <v>350</v>
      </c>
      <c r="G512" s="406" t="s">
        <v>1026</v>
      </c>
      <c r="H512" s="431" t="s">
        <v>342</v>
      </c>
      <c r="I512" s="398">
        <v>89374375</v>
      </c>
      <c r="J512" s="336" t="s">
        <v>349</v>
      </c>
      <c r="K512" s="403" t="s">
        <v>924</v>
      </c>
      <c r="L512" s="406"/>
      <c r="M512" s="405"/>
      <c r="N512" s="405">
        <v>2026</v>
      </c>
      <c r="O512" s="497"/>
    </row>
    <row r="513" spans="2:15" s="63" customFormat="1">
      <c r="B513" s="335"/>
      <c r="C513" s="403" t="s">
        <v>335</v>
      </c>
      <c r="D513" s="404" t="s">
        <v>1032</v>
      </c>
      <c r="E513" s="406" t="s">
        <v>1033</v>
      </c>
      <c r="F513" s="335" t="s">
        <v>350</v>
      </c>
      <c r="G513" s="406" t="s">
        <v>1026</v>
      </c>
      <c r="H513" s="431" t="s">
        <v>342</v>
      </c>
      <c r="I513" s="398">
        <v>4101341</v>
      </c>
      <c r="J513" s="336" t="s">
        <v>349</v>
      </c>
      <c r="K513" s="403" t="s">
        <v>924</v>
      </c>
      <c r="L513" s="406"/>
      <c r="M513" s="405"/>
      <c r="N513" s="405">
        <v>2026</v>
      </c>
      <c r="O513" s="497"/>
    </row>
    <row r="514" spans="2:15" customFormat="1">
      <c r="B514" s="104"/>
      <c r="C514" s="96" t="s">
        <v>574</v>
      </c>
      <c r="D514" s="378" t="e" cm="1">
        <f t="array" aca="1" ref="D51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14" s="99" t="s">
        <v>1034</v>
      </c>
      <c r="F514" s="104" t="s">
        <v>350</v>
      </c>
      <c r="G514" s="99" t="s">
        <v>1026</v>
      </c>
      <c r="H514" s="99" t="s">
        <v>361</v>
      </c>
      <c r="I514" s="395">
        <v>189525000</v>
      </c>
      <c r="J514" s="105" t="s">
        <v>349</v>
      </c>
      <c r="K514" s="96" t="s">
        <v>1035</v>
      </c>
      <c r="L514" s="99"/>
      <c r="M514" s="97"/>
      <c r="N514" s="97">
        <v>2026</v>
      </c>
      <c r="O514" s="258"/>
    </row>
    <row r="515" spans="2:15" customFormat="1">
      <c r="B515" s="104"/>
      <c r="C515" s="96" t="s">
        <v>574</v>
      </c>
      <c r="D515" s="378" t="e" cm="1">
        <f t="array" aca="1" ref="D51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15" s="99" t="s">
        <v>1036</v>
      </c>
      <c r="F515" s="104" t="s">
        <v>350</v>
      </c>
      <c r="G515" s="99" t="s">
        <v>1026</v>
      </c>
      <c r="H515" s="425" t="s">
        <v>361</v>
      </c>
      <c r="I515" s="395">
        <v>8000000000</v>
      </c>
      <c r="J515" s="105" t="s">
        <v>349</v>
      </c>
      <c r="K515" s="96" t="s">
        <v>1035</v>
      </c>
      <c r="L515" s="99"/>
      <c r="M515" s="97"/>
      <c r="N515" s="97">
        <v>2026</v>
      </c>
      <c r="O515" s="258"/>
    </row>
    <row r="516" spans="2:15" customFormat="1">
      <c r="B516" s="104"/>
      <c r="C516" s="96" t="s">
        <v>574</v>
      </c>
      <c r="D516" s="378" t="e" cm="1">
        <f t="array" aca="1" ref="D51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16" s="99" t="s">
        <v>1037</v>
      </c>
      <c r="F516" s="104" t="s">
        <v>350</v>
      </c>
      <c r="G516" s="99" t="s">
        <v>1026</v>
      </c>
      <c r="H516" s="425" t="s">
        <v>342</v>
      </c>
      <c r="I516" s="395">
        <v>290000000</v>
      </c>
      <c r="J516" s="105" t="s">
        <v>349</v>
      </c>
      <c r="K516" s="96" t="s">
        <v>1035</v>
      </c>
      <c r="L516" s="99"/>
      <c r="M516" s="97"/>
      <c r="N516" s="97">
        <v>2026</v>
      </c>
      <c r="O516" s="258"/>
    </row>
    <row r="517" spans="2:15" s="63" customFormat="1">
      <c r="B517" s="335"/>
      <c r="C517" s="403" t="s">
        <v>336</v>
      </c>
      <c r="D517" s="404" t="s">
        <v>1038</v>
      </c>
      <c r="E517" s="406" t="s">
        <v>1025</v>
      </c>
      <c r="F517" s="335" t="s">
        <v>350</v>
      </c>
      <c r="G517" s="406" t="s">
        <v>1026</v>
      </c>
      <c r="H517" s="406" t="s">
        <v>348</v>
      </c>
      <c r="I517" s="398">
        <v>45600000</v>
      </c>
      <c r="J517" s="336" t="s">
        <v>349</v>
      </c>
      <c r="K517" s="403" t="s">
        <v>1039</v>
      </c>
      <c r="L517" s="406"/>
      <c r="M517" s="405"/>
      <c r="N517" s="405">
        <v>2026</v>
      </c>
      <c r="O517" s="497"/>
    </row>
    <row r="518" spans="2:15" customFormat="1">
      <c r="B518" s="104"/>
      <c r="C518" s="96" t="s">
        <v>634</v>
      </c>
      <c r="D518" s="378" t="e" cm="1">
        <f t="array" aca="1" ref="D51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18" s="99" t="s">
        <v>1028</v>
      </c>
      <c r="F518" s="96" t="s">
        <v>350</v>
      </c>
      <c r="G518" s="99" t="s">
        <v>1026</v>
      </c>
      <c r="H518" s="99" t="s">
        <v>345</v>
      </c>
      <c r="I518" s="395"/>
      <c r="J518" s="105"/>
      <c r="K518" s="96" t="s">
        <v>1040</v>
      </c>
      <c r="L518" s="99"/>
      <c r="M518" s="97"/>
      <c r="N518" s="97">
        <v>2026</v>
      </c>
      <c r="O518" s="258"/>
    </row>
    <row r="519" spans="2:15" customFormat="1">
      <c r="B519" s="104"/>
      <c r="C519" s="96" t="s">
        <v>425</v>
      </c>
      <c r="D519" s="378" t="e" cm="1">
        <f t="array" aca="1" ref="D51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19" s="99" t="s">
        <v>1041</v>
      </c>
      <c r="F519" s="104" t="s">
        <v>350</v>
      </c>
      <c r="G519" s="99" t="s">
        <v>1026</v>
      </c>
      <c r="H519" s="425" t="s">
        <v>351</v>
      </c>
      <c r="I519" s="395">
        <v>285000000</v>
      </c>
      <c r="J519" s="105" t="s">
        <v>346</v>
      </c>
      <c r="K519" s="96" t="s">
        <v>993</v>
      </c>
      <c r="L519" s="99"/>
      <c r="M519" s="97"/>
      <c r="N519" s="97">
        <v>2026</v>
      </c>
      <c r="O519" s="258"/>
    </row>
    <row r="520" spans="2:15" customFormat="1">
      <c r="B520" s="104"/>
      <c r="C520" s="96" t="s">
        <v>425</v>
      </c>
      <c r="D520" s="378" t="e" cm="1">
        <f t="array" aca="1" ref="D52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20" s="99" t="s">
        <v>1042</v>
      </c>
      <c r="F520" s="104" t="s">
        <v>350</v>
      </c>
      <c r="G520" s="99" t="s">
        <v>1026</v>
      </c>
      <c r="H520" s="425"/>
      <c r="I520" s="395">
        <v>15000000</v>
      </c>
      <c r="J520" s="105"/>
      <c r="K520" s="96" t="s">
        <v>993</v>
      </c>
      <c r="L520" s="99"/>
      <c r="M520" s="97"/>
      <c r="N520" s="244"/>
      <c r="O520" s="258"/>
    </row>
    <row r="521" spans="2:15" customFormat="1">
      <c r="B521" s="104"/>
      <c r="C521" s="96" t="s">
        <v>425</v>
      </c>
      <c r="D521" s="534" t="s">
        <v>1043</v>
      </c>
      <c r="E521" s="533" t="s">
        <v>1044</v>
      </c>
      <c r="F521" s="104" t="s">
        <v>350</v>
      </c>
      <c r="G521" s="99" t="s">
        <v>1026</v>
      </c>
      <c r="H521" s="533" t="s">
        <v>355</v>
      </c>
      <c r="I521" s="395">
        <v>25000000</v>
      </c>
      <c r="J521" s="533" t="s">
        <v>346</v>
      </c>
      <c r="K521" s="96" t="s">
        <v>993</v>
      </c>
      <c r="L521" s="99"/>
      <c r="M521" s="97"/>
      <c r="N521" s="244"/>
      <c r="O521" s="258"/>
    </row>
    <row r="522" spans="2:15" s="63" customFormat="1">
      <c r="B522" s="335"/>
      <c r="C522" s="403" t="s">
        <v>337</v>
      </c>
      <c r="D522" s="404" t="s">
        <v>1045</v>
      </c>
      <c r="E522" s="406" t="s">
        <v>1046</v>
      </c>
      <c r="F522" s="403" t="s">
        <v>350</v>
      </c>
      <c r="G522" s="406" t="s">
        <v>1026</v>
      </c>
      <c r="H522" s="406" t="s">
        <v>345</v>
      </c>
      <c r="I522" s="398">
        <v>478000000</v>
      </c>
      <c r="J522" s="336" t="s">
        <v>349</v>
      </c>
      <c r="K522" s="403" t="s">
        <v>1047</v>
      </c>
      <c r="L522" s="406"/>
      <c r="M522" s="405"/>
      <c r="N522" s="405">
        <v>2026</v>
      </c>
      <c r="O522" s="497"/>
    </row>
    <row r="523" spans="2:15" customFormat="1">
      <c r="B523" s="104"/>
      <c r="C523" s="394" t="s">
        <v>431</v>
      </c>
      <c r="D523" s="378" t="e" cm="1">
        <f t="array" aca="1" ref="D52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23" s="99" t="s">
        <v>1048</v>
      </c>
      <c r="F523" s="104" t="s">
        <v>350</v>
      </c>
      <c r="G523" s="99" t="s">
        <v>1026</v>
      </c>
      <c r="H523" s="425" t="s">
        <v>348</v>
      </c>
      <c r="I523" s="407">
        <v>38573767235</v>
      </c>
      <c r="J523" s="105" t="s">
        <v>349</v>
      </c>
      <c r="K523" s="96" t="s">
        <v>1049</v>
      </c>
      <c r="L523" s="99"/>
      <c r="M523" s="97"/>
      <c r="N523" s="97">
        <v>2026</v>
      </c>
      <c r="O523" s="258"/>
    </row>
    <row r="524" spans="2:15" customFormat="1">
      <c r="B524" s="104"/>
      <c r="C524" s="96" t="s">
        <v>424</v>
      </c>
      <c r="D524" s="378" t="e" cm="1">
        <f t="array" aca="1" ref="D52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24" s="99" t="s">
        <v>1050</v>
      </c>
      <c r="F524" s="104" t="s">
        <v>350</v>
      </c>
      <c r="G524" s="99" t="s">
        <v>1026</v>
      </c>
      <c r="H524" s="425" t="s">
        <v>351</v>
      </c>
      <c r="I524" s="407">
        <v>434700000</v>
      </c>
      <c r="J524" s="105" t="s">
        <v>346</v>
      </c>
      <c r="K524" s="96" t="s">
        <v>1051</v>
      </c>
      <c r="L524" s="99"/>
      <c r="M524" s="97"/>
      <c r="N524" s="97">
        <v>2026</v>
      </c>
      <c r="O524" s="258"/>
    </row>
    <row r="525" spans="2:15" customFormat="1">
      <c r="B525" s="104"/>
      <c r="C525" s="96" t="s">
        <v>637</v>
      </c>
      <c r="D525" s="378" t="e" cm="1">
        <f t="array" aca="1" ref="D52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25" s="409" t="s">
        <v>1052</v>
      </c>
      <c r="F525" s="408" t="s">
        <v>350</v>
      </c>
      <c r="G525" s="409" t="s">
        <v>1026</v>
      </c>
      <c r="H525" s="428" t="s">
        <v>353</v>
      </c>
      <c r="I525" s="395">
        <v>121000000</v>
      </c>
      <c r="J525" s="105" t="s">
        <v>346</v>
      </c>
      <c r="K525" s="96" t="s">
        <v>1053</v>
      </c>
      <c r="L525" s="99"/>
      <c r="M525" s="97"/>
      <c r="N525" s="97">
        <v>2026</v>
      </c>
      <c r="O525" s="258"/>
    </row>
    <row r="526" spans="2:15" customFormat="1">
      <c r="B526" s="104"/>
      <c r="C526" s="96" t="s">
        <v>637</v>
      </c>
      <c r="D526" s="378" t="e" cm="1">
        <f t="array" aca="1" ref="D52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26" s="409" t="s">
        <v>1054</v>
      </c>
      <c r="F526" s="104" t="s">
        <v>350</v>
      </c>
      <c r="G526" s="409" t="s">
        <v>1026</v>
      </c>
      <c r="H526" s="428" t="s">
        <v>356</v>
      </c>
      <c r="I526" s="395">
        <v>84000000</v>
      </c>
      <c r="J526" s="105"/>
      <c r="K526" s="96" t="s">
        <v>1053</v>
      </c>
      <c r="L526" s="99"/>
      <c r="M526" s="97"/>
      <c r="N526" s="97">
        <v>2026</v>
      </c>
      <c r="O526" s="258"/>
    </row>
    <row r="527" spans="2:15" customFormat="1">
      <c r="B527" s="104"/>
      <c r="C527" s="104" t="s">
        <v>637</v>
      </c>
      <c r="D527" s="218" t="e" cm="1">
        <f t="array" aca="1" ref="D52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27" s="400" t="s">
        <v>1055</v>
      </c>
      <c r="F527" s="104" t="s">
        <v>350</v>
      </c>
      <c r="G527" s="400" t="s">
        <v>1026</v>
      </c>
      <c r="H527" s="428" t="s">
        <v>355</v>
      </c>
      <c r="I527" s="395">
        <v>30000000</v>
      </c>
      <c r="J527" s="105" t="s">
        <v>346</v>
      </c>
      <c r="K527" s="96" t="s">
        <v>1053</v>
      </c>
      <c r="L527" s="99"/>
      <c r="M527" s="97"/>
      <c r="N527" s="244"/>
      <c r="O527" s="258"/>
    </row>
    <row r="528" spans="2:15" customFormat="1">
      <c r="B528" s="104"/>
      <c r="C528" s="96" t="s">
        <v>528</v>
      </c>
      <c r="D528" s="378" t="e" cm="1">
        <f t="array" aca="1" ref="D52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28" s="99" t="s">
        <v>1056</v>
      </c>
      <c r="F528" s="104" t="s">
        <v>350</v>
      </c>
      <c r="G528" s="99" t="s">
        <v>1026</v>
      </c>
      <c r="H528" s="425" t="s">
        <v>351</v>
      </c>
      <c r="I528" s="395">
        <v>12711650</v>
      </c>
      <c r="J528" s="105" t="s">
        <v>346</v>
      </c>
      <c r="K528" s="96" t="s">
        <v>924</v>
      </c>
      <c r="L528" s="99"/>
      <c r="M528" s="97"/>
      <c r="N528" s="97">
        <v>2026</v>
      </c>
      <c r="O528" s="258"/>
    </row>
    <row r="529" spans="2:15" customFormat="1">
      <c r="B529" s="104"/>
      <c r="C529" s="96" t="s">
        <v>528</v>
      </c>
      <c r="D529" s="378" t="e" cm="1">
        <f t="array" aca="1" ref="D52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29" s="99" t="s">
        <v>1057</v>
      </c>
      <c r="F529" s="104" t="s">
        <v>350</v>
      </c>
      <c r="G529" s="99" t="s">
        <v>1026</v>
      </c>
      <c r="H529" s="425" t="s">
        <v>351</v>
      </c>
      <c r="I529" s="395">
        <v>3423901</v>
      </c>
      <c r="J529" s="105" t="s">
        <v>346</v>
      </c>
      <c r="K529" s="96" t="s">
        <v>924</v>
      </c>
      <c r="L529" s="99"/>
      <c r="M529" s="97"/>
      <c r="N529" s="97">
        <v>2026</v>
      </c>
      <c r="O529" s="258"/>
    </row>
    <row r="530" spans="2:15" customFormat="1">
      <c r="B530" s="104"/>
      <c r="C530" s="96" t="s">
        <v>528</v>
      </c>
      <c r="D530" s="378" t="e" cm="1">
        <f t="array" aca="1" ref="D53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30" s="99" t="s">
        <v>1058</v>
      </c>
      <c r="F530" s="104" t="s">
        <v>350</v>
      </c>
      <c r="G530" s="99" t="s">
        <v>1026</v>
      </c>
      <c r="H530" s="425" t="s">
        <v>351</v>
      </c>
      <c r="I530" s="395">
        <v>26267097</v>
      </c>
      <c r="J530" s="105" t="s">
        <v>346</v>
      </c>
      <c r="K530" s="96" t="s">
        <v>924</v>
      </c>
      <c r="L530" s="99"/>
      <c r="M530" s="97"/>
      <c r="N530" s="97">
        <v>2026</v>
      </c>
      <c r="O530" s="258"/>
    </row>
    <row r="531" spans="2:15" s="63" customFormat="1">
      <c r="B531" s="335"/>
      <c r="C531" s="403" t="s">
        <v>410</v>
      </c>
      <c r="D531" s="404" t="s">
        <v>1059</v>
      </c>
      <c r="E531" s="406"/>
      <c r="F531" s="335" t="s">
        <v>350</v>
      </c>
      <c r="G531" s="406" t="s">
        <v>1026</v>
      </c>
      <c r="H531" s="431" t="s">
        <v>353</v>
      </c>
      <c r="I531" s="398">
        <v>4609470000</v>
      </c>
      <c r="J531" s="336"/>
      <c r="K531" s="403" t="s">
        <v>1060</v>
      </c>
      <c r="L531" s="406"/>
      <c r="M531" s="405"/>
      <c r="N531" s="405">
        <v>2026</v>
      </c>
      <c r="O531" s="497"/>
    </row>
    <row r="532" spans="2:15" s="63" customFormat="1">
      <c r="B532" s="335"/>
      <c r="C532" s="403" t="s">
        <v>410</v>
      </c>
      <c r="D532" s="458" t="s">
        <v>1061</v>
      </c>
      <c r="E532" s="406" t="s">
        <v>1062</v>
      </c>
      <c r="F532" s="335" t="s">
        <v>350</v>
      </c>
      <c r="G532" s="406" t="s">
        <v>1026</v>
      </c>
      <c r="H532" s="431" t="s">
        <v>353</v>
      </c>
      <c r="I532" s="398">
        <v>135000000</v>
      </c>
      <c r="J532" s="336" t="s">
        <v>346</v>
      </c>
      <c r="K532" s="403" t="s">
        <v>1063</v>
      </c>
      <c r="L532" s="406"/>
      <c r="M532" s="405"/>
      <c r="N532" s="405">
        <v>2026</v>
      </c>
      <c r="O532" s="497"/>
    </row>
    <row r="533" spans="2:15" customFormat="1">
      <c r="B533" s="104"/>
      <c r="C533" s="96" t="s">
        <v>427</v>
      </c>
      <c r="D533" s="378" t="e" cm="1">
        <f t="array" aca="1" ref="D53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33" s="99" t="s">
        <v>1064</v>
      </c>
      <c r="F533" s="104" t="s">
        <v>350</v>
      </c>
      <c r="G533" s="99" t="s">
        <v>1026</v>
      </c>
      <c r="H533" s="425" t="s">
        <v>351</v>
      </c>
      <c r="I533" s="395">
        <v>47000000</v>
      </c>
      <c r="J533" s="105" t="s">
        <v>346</v>
      </c>
      <c r="K533" s="96" t="s">
        <v>919</v>
      </c>
      <c r="L533" s="99"/>
      <c r="M533" s="97"/>
      <c r="N533" s="97">
        <v>2026</v>
      </c>
      <c r="O533" s="258"/>
    </row>
    <row r="534" spans="2:15" s="63" customFormat="1">
      <c r="B534" s="335"/>
      <c r="C534" s="403" t="s">
        <v>680</v>
      </c>
      <c r="D534" s="404" t="s">
        <v>1065</v>
      </c>
      <c r="E534" s="406" t="s">
        <v>1062</v>
      </c>
      <c r="F534" s="403" t="s">
        <v>350</v>
      </c>
      <c r="G534" s="406" t="s">
        <v>1026</v>
      </c>
      <c r="H534" s="406" t="s">
        <v>351</v>
      </c>
      <c r="I534" s="398">
        <v>0</v>
      </c>
      <c r="J534" s="336"/>
      <c r="K534" s="403" t="s">
        <v>1066</v>
      </c>
      <c r="L534" s="406"/>
      <c r="M534" s="405"/>
      <c r="N534" s="405">
        <v>2026</v>
      </c>
      <c r="O534" s="497"/>
    </row>
    <row r="535" spans="2:15" s="76" customFormat="1">
      <c r="B535" s="104"/>
      <c r="C535" s="386" t="s">
        <v>388</v>
      </c>
      <c r="D535" s="378" t="e" cm="1">
        <f t="array" aca="1" ref="D53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35" s="393" t="s">
        <v>1062</v>
      </c>
      <c r="F535" s="387" t="s">
        <v>350</v>
      </c>
      <c r="G535" s="99" t="s">
        <v>1026</v>
      </c>
      <c r="H535" s="99" t="s">
        <v>351</v>
      </c>
      <c r="I535" s="410">
        <v>26073600</v>
      </c>
      <c r="J535" s="411" t="s">
        <v>349</v>
      </c>
      <c r="K535" s="386" t="s">
        <v>1067</v>
      </c>
      <c r="L535" s="393"/>
      <c r="M535" s="392"/>
      <c r="N535" s="97">
        <v>2026</v>
      </c>
      <c r="O535" s="498"/>
    </row>
    <row r="536" spans="2:15" s="76" customFormat="1">
      <c r="B536" s="104"/>
      <c r="C536" s="386" t="s">
        <v>650</v>
      </c>
      <c r="D536" s="378" t="e" cm="1">
        <f t="array" aca="1" ref="D53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36" s="393" t="s">
        <v>1068</v>
      </c>
      <c r="F536" s="104" t="s">
        <v>350</v>
      </c>
      <c r="G536" s="99" t="s">
        <v>1026</v>
      </c>
      <c r="H536" s="425" t="s">
        <v>353</v>
      </c>
      <c r="I536" s="410">
        <v>75000000</v>
      </c>
      <c r="J536" s="411" t="s">
        <v>346</v>
      </c>
      <c r="K536" s="386" t="s">
        <v>1069</v>
      </c>
      <c r="L536" s="393"/>
      <c r="M536" s="392"/>
      <c r="N536" s="97">
        <v>2026</v>
      </c>
      <c r="O536" s="498"/>
    </row>
    <row r="537" spans="2:15" s="76" customFormat="1">
      <c r="B537" s="104"/>
      <c r="C537" s="386" t="s">
        <v>650</v>
      </c>
      <c r="D537" s="378" t="e" cm="1">
        <f t="array" aca="1" ref="D53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37" s="393" t="s">
        <v>1070</v>
      </c>
      <c r="F537" s="104" t="s">
        <v>350</v>
      </c>
      <c r="G537" s="99" t="s">
        <v>1026</v>
      </c>
      <c r="H537" s="425" t="s">
        <v>356</v>
      </c>
      <c r="I537" s="410">
        <v>75000000</v>
      </c>
      <c r="J537" s="411" t="s">
        <v>346</v>
      </c>
      <c r="K537" s="386" t="s">
        <v>1069</v>
      </c>
      <c r="L537" s="393"/>
      <c r="M537" s="392"/>
      <c r="N537" s="97">
        <v>2026</v>
      </c>
      <c r="O537" s="498"/>
    </row>
    <row r="538" spans="2:15" s="76" customFormat="1">
      <c r="B538" s="104"/>
      <c r="C538" s="96" t="s">
        <v>425</v>
      </c>
      <c r="D538" s="378" t="e" cm="1">
        <f t="array" aca="1" ref="D53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38" s="393" t="s">
        <v>1071</v>
      </c>
      <c r="F538" s="104" t="s">
        <v>350</v>
      </c>
      <c r="G538" s="99" t="s">
        <v>1026</v>
      </c>
      <c r="H538" s="425" t="s">
        <v>348</v>
      </c>
      <c r="I538" s="410">
        <v>2330000000</v>
      </c>
      <c r="J538" s="411" t="s">
        <v>349</v>
      </c>
      <c r="K538" s="386" t="s">
        <v>1072</v>
      </c>
      <c r="L538" s="393"/>
      <c r="M538" s="450" t="s">
        <v>1073</v>
      </c>
      <c r="N538" s="97">
        <v>2026</v>
      </c>
      <c r="O538" s="498"/>
    </row>
    <row r="539" spans="2:15" s="76" customFormat="1">
      <c r="B539" s="104"/>
      <c r="C539" s="96" t="s">
        <v>425</v>
      </c>
      <c r="D539" s="378" t="e" cm="1">
        <f t="array" aca="1" ref="D53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39" s="393" t="s">
        <v>1074</v>
      </c>
      <c r="F539" s="104" t="s">
        <v>350</v>
      </c>
      <c r="G539" s="99" t="s">
        <v>1026</v>
      </c>
      <c r="H539" s="425" t="s">
        <v>348</v>
      </c>
      <c r="I539" s="410">
        <v>1132000000</v>
      </c>
      <c r="J539" s="411" t="s">
        <v>349</v>
      </c>
      <c r="K539" s="386" t="s">
        <v>1075</v>
      </c>
      <c r="L539" s="393"/>
      <c r="M539" s="450" t="s">
        <v>1076</v>
      </c>
      <c r="N539" s="97">
        <v>2026</v>
      </c>
      <c r="O539" s="498"/>
    </row>
    <row r="540" spans="2:15" s="76" customFormat="1">
      <c r="B540" s="104"/>
      <c r="C540" s="96" t="s">
        <v>425</v>
      </c>
      <c r="D540" s="378" t="e" cm="1">
        <f t="array" aca="1" ref="D54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40" s="393" t="s">
        <v>1077</v>
      </c>
      <c r="F540" s="104" t="s">
        <v>350</v>
      </c>
      <c r="G540" s="99" t="s">
        <v>1026</v>
      </c>
      <c r="H540" s="425" t="s">
        <v>348</v>
      </c>
      <c r="I540" s="410">
        <v>1556500000</v>
      </c>
      <c r="J540" s="411" t="s">
        <v>349</v>
      </c>
      <c r="K540" s="386" t="s">
        <v>1075</v>
      </c>
      <c r="L540" s="393"/>
      <c r="M540" s="450" t="s">
        <v>1078</v>
      </c>
      <c r="N540" s="97">
        <v>2026</v>
      </c>
      <c r="O540" s="498"/>
    </row>
    <row r="541" spans="2:15" s="76" customFormat="1">
      <c r="B541" s="104"/>
      <c r="C541" s="96" t="s">
        <v>425</v>
      </c>
      <c r="D541" s="378" t="e" cm="1">
        <f t="array" aca="1" ref="D54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41" s="393" t="s">
        <v>1079</v>
      </c>
      <c r="F541" s="104" t="s">
        <v>350</v>
      </c>
      <c r="G541" s="99" t="s">
        <v>1026</v>
      </c>
      <c r="H541" s="425" t="s">
        <v>348</v>
      </c>
      <c r="I541" s="410">
        <v>141500000</v>
      </c>
      <c r="J541" s="411" t="s">
        <v>346</v>
      </c>
      <c r="K541" s="386" t="s">
        <v>1075</v>
      </c>
      <c r="L541" s="393"/>
      <c r="M541" s="392"/>
      <c r="N541" s="97">
        <v>2026</v>
      </c>
      <c r="O541" s="498"/>
    </row>
    <row r="542" spans="2:15" s="76" customFormat="1">
      <c r="B542" s="104"/>
      <c r="C542" s="96" t="s">
        <v>637</v>
      </c>
      <c r="D542" s="378" t="e" cm="1">
        <f t="array" aca="1" ref="D54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42" s="393" t="s">
        <v>1080</v>
      </c>
      <c r="F542" s="104" t="s">
        <v>350</v>
      </c>
      <c r="G542" s="99" t="s">
        <v>1026</v>
      </c>
      <c r="H542" s="428" t="s">
        <v>355</v>
      </c>
      <c r="I542" s="410">
        <v>30000000</v>
      </c>
      <c r="J542" s="411"/>
      <c r="K542" s="386"/>
      <c r="L542" s="393"/>
      <c r="M542" s="392"/>
      <c r="N542" s="97">
        <v>2026</v>
      </c>
      <c r="O542" s="498"/>
    </row>
    <row r="543" spans="2:15" s="63" customFormat="1">
      <c r="B543" s="335"/>
      <c r="C543" s="403" t="s">
        <v>524</v>
      </c>
      <c r="D543" s="404" t="s">
        <v>1081</v>
      </c>
      <c r="E543" s="406" t="s">
        <v>1033</v>
      </c>
      <c r="F543" s="335" t="s">
        <v>350</v>
      </c>
      <c r="G543" s="406" t="s">
        <v>1026</v>
      </c>
      <c r="H543" s="431" t="s">
        <v>342</v>
      </c>
      <c r="I543" s="398">
        <v>126222750</v>
      </c>
      <c r="J543" s="336" t="s">
        <v>346</v>
      </c>
      <c r="K543" s="403" t="s">
        <v>1082</v>
      </c>
      <c r="L543" s="406"/>
      <c r="M543" s="405"/>
      <c r="N543" s="405">
        <v>2026</v>
      </c>
      <c r="O543" s="497"/>
    </row>
    <row r="544" spans="2:15" s="63" customFormat="1">
      <c r="B544" s="335"/>
      <c r="C544" s="403" t="s">
        <v>524</v>
      </c>
      <c r="D544" s="404" t="s">
        <v>1083</v>
      </c>
      <c r="E544" s="406" t="s">
        <v>1033</v>
      </c>
      <c r="F544" s="335" t="s">
        <v>350</v>
      </c>
      <c r="G544" s="406" t="s">
        <v>1026</v>
      </c>
      <c r="H544" s="431" t="s">
        <v>345</v>
      </c>
      <c r="I544" s="398">
        <v>126222750</v>
      </c>
      <c r="J544" s="336" t="s">
        <v>346</v>
      </c>
      <c r="K544" s="403" t="s">
        <v>1082</v>
      </c>
      <c r="L544" s="406"/>
      <c r="M544" s="405"/>
      <c r="N544" s="405">
        <v>2026</v>
      </c>
      <c r="O544" s="497"/>
    </row>
    <row r="545" spans="2:15" s="63" customFormat="1">
      <c r="B545" s="335"/>
      <c r="C545" s="403" t="s">
        <v>524</v>
      </c>
      <c r="D545" s="404" t="s">
        <v>1084</v>
      </c>
      <c r="E545" s="406" t="s">
        <v>1033</v>
      </c>
      <c r="F545" s="335" t="s">
        <v>350</v>
      </c>
      <c r="G545" s="406" t="s">
        <v>1026</v>
      </c>
      <c r="H545" s="431" t="s">
        <v>348</v>
      </c>
      <c r="I545" s="398">
        <v>168297000</v>
      </c>
      <c r="J545" s="336" t="s">
        <v>346</v>
      </c>
      <c r="K545" s="403" t="s">
        <v>1082</v>
      </c>
      <c r="L545" s="406"/>
      <c r="M545" s="405"/>
      <c r="N545" s="405">
        <v>2026</v>
      </c>
      <c r="O545" s="497"/>
    </row>
    <row r="546" spans="2:15" s="76" customFormat="1">
      <c r="B546" s="104"/>
      <c r="C546" s="96" t="s">
        <v>665</v>
      </c>
      <c r="D546" s="378" t="e" cm="1">
        <f t="array" aca="1" ref="D54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46" s="99" t="s">
        <v>1085</v>
      </c>
      <c r="F546" s="104" t="s">
        <v>350</v>
      </c>
      <c r="G546" s="99" t="s">
        <v>1026</v>
      </c>
      <c r="H546" s="428" t="s">
        <v>355</v>
      </c>
      <c r="I546" s="395">
        <v>658000000</v>
      </c>
      <c r="J546" s="105" t="s">
        <v>349</v>
      </c>
      <c r="K546" s="96" t="s">
        <v>1086</v>
      </c>
      <c r="L546" s="99"/>
      <c r="M546" s="392"/>
      <c r="N546" s="97">
        <v>2026</v>
      </c>
      <c r="O546" s="498"/>
    </row>
    <row r="547" spans="2:15" s="76" customFormat="1">
      <c r="B547" s="104"/>
      <c r="C547" s="96" t="s">
        <v>665</v>
      </c>
      <c r="D547" s="378" t="e" cm="1">
        <f t="array" aca="1" ref="D54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47" s="99" t="s">
        <v>1087</v>
      </c>
      <c r="F547" s="104" t="s">
        <v>350</v>
      </c>
      <c r="G547" s="99" t="s">
        <v>1026</v>
      </c>
      <c r="H547" s="428" t="s">
        <v>355</v>
      </c>
      <c r="I547" s="395">
        <v>840000000</v>
      </c>
      <c r="J547" s="105" t="s">
        <v>349</v>
      </c>
      <c r="K547" s="96" t="s">
        <v>1086</v>
      </c>
      <c r="L547" s="99"/>
      <c r="M547" s="392"/>
      <c r="N547" s="97">
        <v>2026</v>
      </c>
      <c r="O547" s="498"/>
    </row>
    <row r="548" spans="2:15" s="76" customFormat="1" ht="22.5" customHeight="1">
      <c r="B548" s="104"/>
      <c r="C548" s="104" t="s">
        <v>665</v>
      </c>
      <c r="D548" s="378" t="e" cm="1">
        <f t="array" aca="1" ref="D54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48" s="102" t="s">
        <v>1088</v>
      </c>
      <c r="F548" s="104" t="s">
        <v>350</v>
      </c>
      <c r="G548" s="102" t="s">
        <v>1026</v>
      </c>
      <c r="H548" s="518" t="s">
        <v>356</v>
      </c>
      <c r="I548" s="519">
        <v>504000000</v>
      </c>
      <c r="J548" s="520" t="s">
        <v>349</v>
      </c>
      <c r="K548" s="104" t="s">
        <v>1086</v>
      </c>
      <c r="L548" s="99"/>
      <c r="M548" s="392"/>
      <c r="N548" s="97">
        <v>2026</v>
      </c>
      <c r="O548" s="498"/>
    </row>
    <row r="549" spans="2:15" s="76" customFormat="1">
      <c r="B549" s="104"/>
      <c r="C549" s="96" t="s">
        <v>422</v>
      </c>
      <c r="D549" s="378" t="e" cm="1">
        <f t="array" aca="1" ref="D54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49" s="393" t="s">
        <v>1089</v>
      </c>
      <c r="F549" s="96" t="s">
        <v>350</v>
      </c>
      <c r="G549" s="99" t="s">
        <v>1026</v>
      </c>
      <c r="H549" s="99" t="s">
        <v>345</v>
      </c>
      <c r="I549" s="410">
        <v>1131550</v>
      </c>
      <c r="J549" s="97" t="s">
        <v>349</v>
      </c>
      <c r="K549" s="386"/>
      <c r="L549" s="393"/>
      <c r="M549" s="392"/>
      <c r="N549" s="97">
        <v>2026</v>
      </c>
      <c r="O549" s="498"/>
    </row>
    <row r="550" spans="2:15" s="63" customFormat="1">
      <c r="B550" s="335"/>
      <c r="C550" s="403" t="s">
        <v>1090</v>
      </c>
      <c r="D550" s="528" t="s">
        <v>1091</v>
      </c>
      <c r="E550" s="406" t="s">
        <v>1046</v>
      </c>
      <c r="F550" s="403" t="s">
        <v>350</v>
      </c>
      <c r="G550" s="406" t="s">
        <v>1026</v>
      </c>
      <c r="H550" s="431" t="s">
        <v>361</v>
      </c>
      <c r="I550" s="398">
        <v>70517600</v>
      </c>
      <c r="J550" s="405" t="s">
        <v>349</v>
      </c>
      <c r="K550" s="403" t="s">
        <v>1092</v>
      </c>
      <c r="L550" s="406"/>
      <c r="M550" s="405"/>
      <c r="N550" s="405">
        <v>2026</v>
      </c>
      <c r="O550" s="497"/>
    </row>
    <row r="551" spans="2:15" s="76" customFormat="1">
      <c r="B551" s="104"/>
      <c r="C551" s="96" t="s">
        <v>429</v>
      </c>
      <c r="D551" s="378" t="e" cm="1">
        <f t="array" aca="1" ref="D55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51" s="393" t="s">
        <v>1093</v>
      </c>
      <c r="F551" s="104" t="s">
        <v>350</v>
      </c>
      <c r="G551" s="99" t="s">
        <v>1026</v>
      </c>
      <c r="H551" s="425" t="s">
        <v>351</v>
      </c>
      <c r="I551" s="410">
        <v>15000000</v>
      </c>
      <c r="J551" s="105" t="s">
        <v>349</v>
      </c>
      <c r="K551" s="386" t="s">
        <v>870</v>
      </c>
      <c r="L551" s="393"/>
      <c r="M551" s="392"/>
      <c r="N551" s="97">
        <v>2026</v>
      </c>
      <c r="O551" s="498"/>
    </row>
    <row r="552" spans="2:15" s="76" customFormat="1" ht="23.25" customHeight="1">
      <c r="B552" s="104"/>
      <c r="C552" s="96" t="s">
        <v>429</v>
      </c>
      <c r="D552" s="378" t="e" cm="1">
        <f t="array" aca="1" ref="D55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52" s="393" t="s">
        <v>1093</v>
      </c>
      <c r="F552" s="104" t="s">
        <v>350</v>
      </c>
      <c r="G552" s="99" t="s">
        <v>1026</v>
      </c>
      <c r="H552" s="425" t="s">
        <v>353</v>
      </c>
      <c r="I552" s="410">
        <v>15000000</v>
      </c>
      <c r="J552" s="105" t="s">
        <v>349</v>
      </c>
      <c r="K552" s="386" t="s">
        <v>870</v>
      </c>
      <c r="L552" s="393"/>
      <c r="M552" s="392"/>
      <c r="N552" s="97">
        <v>2026</v>
      </c>
      <c r="O552" s="498"/>
    </row>
    <row r="553" spans="2:15" s="76" customFormat="1">
      <c r="B553" s="104"/>
      <c r="C553" s="96" t="s">
        <v>640</v>
      </c>
      <c r="D553" s="378" t="e" cm="1">
        <f t="array" aca="1" ref="D55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53" s="393" t="s">
        <v>1094</v>
      </c>
      <c r="F553" s="104" t="s">
        <v>350</v>
      </c>
      <c r="G553" s="99" t="s">
        <v>1026</v>
      </c>
      <c r="H553" s="428" t="s">
        <v>355</v>
      </c>
      <c r="I553" s="410">
        <v>70000000</v>
      </c>
      <c r="J553" s="105"/>
      <c r="K553" s="386" t="s">
        <v>924</v>
      </c>
      <c r="L553" s="393"/>
      <c r="M553" s="392"/>
      <c r="N553" s="97">
        <v>2026</v>
      </c>
      <c r="O553" s="498"/>
    </row>
    <row r="554" spans="2:15" s="76" customFormat="1">
      <c r="B554" s="104"/>
      <c r="C554" s="96" t="s">
        <v>425</v>
      </c>
      <c r="D554" s="378" t="e" cm="1">
        <f t="array" aca="1" ref="D55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54" s="423" t="s">
        <v>1095</v>
      </c>
      <c r="F554" s="104" t="s">
        <v>350</v>
      </c>
      <c r="G554" s="400" t="s">
        <v>1026</v>
      </c>
      <c r="H554" s="428" t="s">
        <v>355</v>
      </c>
      <c r="I554" s="410">
        <v>4200000</v>
      </c>
      <c r="J554" s="105" t="s">
        <v>349</v>
      </c>
      <c r="K554" s="386" t="s">
        <v>993</v>
      </c>
      <c r="L554" s="393"/>
      <c r="M554" s="392"/>
      <c r="N554" s="97">
        <v>2026</v>
      </c>
      <c r="O554" s="498"/>
    </row>
    <row r="555" spans="2:15" s="76" customFormat="1">
      <c r="B555" s="104" t="s">
        <v>1096</v>
      </c>
      <c r="C555" s="96" t="s">
        <v>660</v>
      </c>
      <c r="D555" s="378" t="e" cm="1">
        <f t="array" aca="1" ref="D55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55" s="423" t="s">
        <v>1085</v>
      </c>
      <c r="F555" s="104" t="s">
        <v>350</v>
      </c>
      <c r="G555" s="400" t="s">
        <v>1026</v>
      </c>
      <c r="H555" s="428" t="s">
        <v>342</v>
      </c>
      <c r="I555" s="410">
        <v>422000000</v>
      </c>
      <c r="J555" s="105" t="s">
        <v>349</v>
      </c>
      <c r="K555" s="386" t="s">
        <v>1097</v>
      </c>
      <c r="L555" s="393"/>
      <c r="M555" s="392"/>
      <c r="N555" s="97">
        <v>2026</v>
      </c>
      <c r="O555" s="498"/>
    </row>
    <row r="556" spans="2:15" s="76" customFormat="1">
      <c r="B556" s="104"/>
      <c r="C556" s="96" t="s">
        <v>660</v>
      </c>
      <c r="D556" s="378" t="e" cm="1">
        <f t="array" aca="1" ref="D55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56" s="423" t="s">
        <v>1087</v>
      </c>
      <c r="F556" s="104" t="s">
        <v>350</v>
      </c>
      <c r="G556" s="400" t="s">
        <v>1026</v>
      </c>
      <c r="H556" s="428" t="s">
        <v>345</v>
      </c>
      <c r="I556" s="410">
        <v>422000000</v>
      </c>
      <c r="J556" s="105" t="s">
        <v>349</v>
      </c>
      <c r="K556" s="386" t="s">
        <v>1097</v>
      </c>
      <c r="L556" s="393"/>
      <c r="M556" s="392"/>
      <c r="N556" s="97">
        <v>2026</v>
      </c>
      <c r="O556" s="498"/>
    </row>
    <row r="557" spans="2:15" s="76" customFormat="1">
      <c r="B557" s="104"/>
      <c r="C557" s="96" t="s">
        <v>660</v>
      </c>
      <c r="D557" s="378" t="e" cm="1">
        <f t="array" aca="1" ref="D55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57" s="423" t="s">
        <v>1088</v>
      </c>
      <c r="F557" s="104" t="s">
        <v>350</v>
      </c>
      <c r="G557" s="400" t="s">
        <v>1026</v>
      </c>
      <c r="H557" s="428" t="s">
        <v>351</v>
      </c>
      <c r="I557" s="410">
        <v>622000000</v>
      </c>
      <c r="J557" s="105" t="s">
        <v>349</v>
      </c>
      <c r="K557" s="386" t="s">
        <v>1097</v>
      </c>
      <c r="L557" s="393"/>
      <c r="M557" s="392"/>
      <c r="N557" s="97">
        <v>2026</v>
      </c>
      <c r="O557" s="498"/>
    </row>
    <row r="558" spans="2:15" s="76" customFormat="1">
      <c r="B558" s="104"/>
      <c r="C558" s="96" t="s">
        <v>660</v>
      </c>
      <c r="D558" s="378" t="e" cm="1">
        <f t="array" aca="1" ref="D55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58" s="423" t="s">
        <v>1098</v>
      </c>
      <c r="F558" s="104" t="s">
        <v>350</v>
      </c>
      <c r="G558" s="400" t="s">
        <v>1026</v>
      </c>
      <c r="H558" s="428" t="s">
        <v>355</v>
      </c>
      <c r="I558" s="410">
        <v>622000000</v>
      </c>
      <c r="J558" s="105"/>
      <c r="K558" s="386" t="s">
        <v>1097</v>
      </c>
      <c r="L558" s="393"/>
      <c r="M558" s="392"/>
      <c r="N558" s="97">
        <v>2026</v>
      </c>
      <c r="O558" s="498"/>
    </row>
    <row r="559" spans="2:15" s="76" customFormat="1">
      <c r="B559" s="104"/>
      <c r="C559" s="96" t="s">
        <v>660</v>
      </c>
      <c r="D559" s="378" t="e" cm="1">
        <f t="array" aca="1" ref="D55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59" s="423" t="s">
        <v>1099</v>
      </c>
      <c r="F559" s="104" t="s">
        <v>350</v>
      </c>
      <c r="G559" s="400" t="s">
        <v>1026</v>
      </c>
      <c r="H559" s="428" t="s">
        <v>357</v>
      </c>
      <c r="I559" s="410"/>
      <c r="J559" s="105"/>
      <c r="K559" s="386" t="s">
        <v>1097</v>
      </c>
      <c r="L559" s="393"/>
      <c r="M559" s="392"/>
      <c r="N559" s="97">
        <v>2026</v>
      </c>
      <c r="O559" s="498"/>
    </row>
    <row r="560" spans="2:15" s="76" customFormat="1">
      <c r="B560" s="104"/>
      <c r="C560" s="96" t="s">
        <v>660</v>
      </c>
      <c r="D560" s="378" t="e" cm="1">
        <f t="array" aca="1" ref="D56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60" s="423" t="s">
        <v>1100</v>
      </c>
      <c r="F560" s="104" t="s">
        <v>350</v>
      </c>
      <c r="G560" s="400" t="s">
        <v>1026</v>
      </c>
      <c r="H560" s="428" t="s">
        <v>359</v>
      </c>
      <c r="I560" s="410"/>
      <c r="J560" s="105"/>
      <c r="K560" s="386" t="s">
        <v>1097</v>
      </c>
      <c r="L560" s="393"/>
      <c r="M560" s="392"/>
      <c r="N560" s="97">
        <v>2026</v>
      </c>
      <c r="O560" s="498"/>
    </row>
    <row r="561" spans="2:15" s="76" customFormat="1">
      <c r="B561" s="104"/>
      <c r="C561" s="104" t="s">
        <v>662</v>
      </c>
      <c r="D561" s="218" t="e" cm="1">
        <f t="array" aca="1" ref="D56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61" s="423" t="s">
        <v>1101</v>
      </c>
      <c r="F561" s="59" t="s">
        <v>350</v>
      </c>
      <c r="G561" s="400" t="s">
        <v>1026</v>
      </c>
      <c r="H561" s="428" t="s">
        <v>356</v>
      </c>
      <c r="I561" s="410">
        <v>525000</v>
      </c>
      <c r="J561" s="105" t="s">
        <v>346</v>
      </c>
      <c r="K561" s="386"/>
      <c r="L561" s="393"/>
      <c r="M561" s="392"/>
      <c r="N561" s="10">
        <v>2026</v>
      </c>
      <c r="O561" s="498"/>
    </row>
    <row r="562" spans="2:15" s="76" customFormat="1">
      <c r="B562" s="104"/>
      <c r="C562" s="59" t="s">
        <v>432</v>
      </c>
      <c r="D562" s="218" t="s">
        <v>730</v>
      </c>
      <c r="E562" s="56" t="s">
        <v>874</v>
      </c>
      <c r="F562" s="59" t="s">
        <v>350</v>
      </c>
      <c r="G562" t="s">
        <v>875</v>
      </c>
      <c r="H562" s="428" t="s">
        <v>356</v>
      </c>
      <c r="I562" s="410">
        <v>281092272</v>
      </c>
      <c r="J562" s="464" t="s">
        <v>349</v>
      </c>
      <c r="K562" s="502" t="s">
        <v>880</v>
      </c>
      <c r="L562" s="503" t="s">
        <v>858</v>
      </c>
      <c r="M562" s="392"/>
      <c r="N562" s="244">
        <v>2026</v>
      </c>
      <c r="O562" s="498"/>
    </row>
    <row r="563" spans="2:15" s="76" customFormat="1">
      <c r="B563" s="104"/>
      <c r="C563" s="59" t="s">
        <v>432</v>
      </c>
      <c r="D563" s="218" t="s">
        <v>730</v>
      </c>
      <c r="E563" s="56" t="s">
        <v>878</v>
      </c>
      <c r="F563" s="59" t="s">
        <v>350</v>
      </c>
      <c r="G563" t="s">
        <v>875</v>
      </c>
      <c r="H563" s="428" t="s">
        <v>356</v>
      </c>
      <c r="I563" s="410">
        <v>54987347</v>
      </c>
      <c r="J563" s="464" t="s">
        <v>349</v>
      </c>
      <c r="K563" s="502" t="s">
        <v>880</v>
      </c>
      <c r="L563" s="503" t="s">
        <v>858</v>
      </c>
      <c r="M563" s="392"/>
      <c r="N563" s="244">
        <v>2026</v>
      </c>
      <c r="O563" s="498"/>
    </row>
    <row r="564" spans="2:15" s="76" customFormat="1">
      <c r="B564" s="104"/>
      <c r="C564" s="83" t="s">
        <v>373</v>
      </c>
      <c r="D564" s="218" t="e" cm="1">
        <f t="array" aca="1" ref="D56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64" s="56" t="s">
        <v>874</v>
      </c>
      <c r="F564" s="59" t="s">
        <v>350</v>
      </c>
      <c r="G564" t="s">
        <v>875</v>
      </c>
      <c r="H564" s="428" t="s">
        <v>356</v>
      </c>
      <c r="I564" s="410">
        <v>256943957.58333334</v>
      </c>
      <c r="J564" t="s">
        <v>349</v>
      </c>
      <c r="K564" s="2" t="s">
        <v>116</v>
      </c>
      <c r="L564" t="s">
        <v>858</v>
      </c>
      <c r="M564" s="392"/>
      <c r="N564" s="244">
        <v>2026</v>
      </c>
      <c r="O564" s="498"/>
    </row>
    <row r="565" spans="2:15" s="76" customFormat="1">
      <c r="B565" s="104"/>
      <c r="C565" s="83" t="s">
        <v>373</v>
      </c>
      <c r="D565" s="218" t="e" cm="1">
        <f t="array" aca="1" ref="D56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65" t="s">
        <v>879</v>
      </c>
      <c r="F565" s="2" t="s">
        <v>350</v>
      </c>
      <c r="G565" t="s">
        <v>875</v>
      </c>
      <c r="H565" s="428" t="s">
        <v>356</v>
      </c>
      <c r="I565" s="410">
        <v>42000000</v>
      </c>
      <c r="J565" t="s">
        <v>349</v>
      </c>
      <c r="K565" s="2" t="s">
        <v>116</v>
      </c>
      <c r="L565" t="s">
        <v>860</v>
      </c>
      <c r="M565" s="392"/>
      <c r="N565" s="244">
        <v>2026</v>
      </c>
      <c r="O565" s="498"/>
    </row>
    <row r="566" spans="2:15" s="63" customFormat="1">
      <c r="B566" s="335"/>
      <c r="C566" s="335" t="s">
        <v>68</v>
      </c>
      <c r="D566" s="420" t="s">
        <v>1102</v>
      </c>
      <c r="E566" s="421" t="s">
        <v>1046</v>
      </c>
      <c r="F566" s="335" t="s">
        <v>350</v>
      </c>
      <c r="G566" s="421" t="s">
        <v>1026</v>
      </c>
      <c r="H566" s="431" t="s">
        <v>1103</v>
      </c>
      <c r="I566" s="398">
        <v>162290495</v>
      </c>
      <c r="J566" s="336"/>
      <c r="K566" s="403" t="s">
        <v>1104</v>
      </c>
      <c r="L566" s="406"/>
      <c r="M566" s="405"/>
      <c r="N566" s="529"/>
      <c r="O566" s="497"/>
    </row>
    <row r="567" spans="2:15" s="63" customFormat="1">
      <c r="B567" s="335"/>
      <c r="C567" s="335" t="s">
        <v>68</v>
      </c>
      <c r="D567" s="420" t="s">
        <v>1105</v>
      </c>
      <c r="E567" s="421" t="s">
        <v>1046</v>
      </c>
      <c r="F567" s="335" t="s">
        <v>350</v>
      </c>
      <c r="G567" s="421" t="s">
        <v>1026</v>
      </c>
      <c r="H567" s="431" t="s">
        <v>361</v>
      </c>
      <c r="I567" s="398">
        <v>8541605</v>
      </c>
      <c r="J567" s="336"/>
      <c r="K567" s="403" t="s">
        <v>1104</v>
      </c>
      <c r="L567" s="406"/>
      <c r="M567" s="405"/>
      <c r="N567" s="529"/>
      <c r="O567" s="497"/>
    </row>
    <row r="568" spans="2:15" s="63" customFormat="1">
      <c r="B568" s="335"/>
      <c r="C568" s="530" t="s">
        <v>654</v>
      </c>
      <c r="D568" s="531" t="s">
        <v>1106</v>
      </c>
      <c r="E568" s="421" t="s">
        <v>1107</v>
      </c>
      <c r="F568" s="335" t="s">
        <v>350</v>
      </c>
      <c r="G568" s="421" t="s">
        <v>1026</v>
      </c>
      <c r="H568" s="431" t="s">
        <v>356</v>
      </c>
      <c r="I568" s="398">
        <v>23800000</v>
      </c>
      <c r="J568" s="336"/>
      <c r="K568" s="403" t="s">
        <v>426</v>
      </c>
      <c r="L568" s="406"/>
      <c r="M568" s="405"/>
      <c r="N568" s="529"/>
      <c r="O568" s="497"/>
    </row>
    <row r="569" spans="2:15" s="63" customFormat="1">
      <c r="B569" s="335"/>
      <c r="C569" s="530" t="s">
        <v>654</v>
      </c>
      <c r="D569" s="531" t="s">
        <v>1106</v>
      </c>
      <c r="E569" s="421" t="s">
        <v>1108</v>
      </c>
      <c r="F569" s="335" t="s">
        <v>350</v>
      </c>
      <c r="G569" s="421" t="s">
        <v>1026</v>
      </c>
      <c r="H569" s="431" t="s">
        <v>356</v>
      </c>
      <c r="I569" s="398">
        <v>19700000</v>
      </c>
      <c r="J569" s="336"/>
      <c r="K569" s="403" t="s">
        <v>426</v>
      </c>
      <c r="L569" s="406"/>
      <c r="M569" s="405"/>
      <c r="N569" s="529"/>
      <c r="O569" s="497"/>
    </row>
    <row r="570" spans="2:15" s="76" customFormat="1">
      <c r="B570" s="104"/>
      <c r="C570" s="104" t="s">
        <v>373</v>
      </c>
      <c r="D570"/>
      <c r="E570" s="99" t="s">
        <v>1109</v>
      </c>
      <c r="F570" s="104" t="s">
        <v>341</v>
      </c>
      <c r="G570" s="99" t="s">
        <v>1110</v>
      </c>
      <c r="H570" s="426" t="s">
        <v>345</v>
      </c>
      <c r="I570" s="435">
        <v>33625653</v>
      </c>
      <c r="J570" s="153" t="s">
        <v>349</v>
      </c>
      <c r="K570" s="412" t="s">
        <v>1111</v>
      </c>
      <c r="L570" s="412"/>
      <c r="M570" s="450" t="s">
        <v>1112</v>
      </c>
      <c r="N570" s="97">
        <v>2026</v>
      </c>
      <c r="O570" s="498"/>
    </row>
    <row r="571" spans="2:15" s="76" customFormat="1">
      <c r="B571" s="104"/>
      <c r="C571" s="104" t="s">
        <v>373</v>
      </c>
      <c r="D571" s="378" t="e" cm="1">
        <f t="array" aca="1" ref="D57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71" s="400" t="s">
        <v>1109</v>
      </c>
      <c r="F571" s="104" t="s">
        <v>341</v>
      </c>
      <c r="G571" s="400" t="s">
        <v>1110</v>
      </c>
      <c r="H571" s="426" t="s">
        <v>355</v>
      </c>
      <c r="I571" s="435">
        <v>86129710</v>
      </c>
      <c r="J571" s="153" t="s">
        <v>346</v>
      </c>
      <c r="K571" s="412" t="s">
        <v>1113</v>
      </c>
      <c r="L571" s="412"/>
      <c r="M571" s="450" t="s">
        <v>1114</v>
      </c>
      <c r="N571" s="97">
        <v>2026</v>
      </c>
      <c r="O571" s="498"/>
    </row>
    <row r="572" spans="2:15" s="76" customFormat="1">
      <c r="B572" s="104"/>
      <c r="C572" s="104" t="s">
        <v>373</v>
      </c>
      <c r="D572" s="378" t="e" cm="1">
        <f t="array" aca="1" ref="D57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72" s="400" t="s">
        <v>384</v>
      </c>
      <c r="F572" s="104" t="s">
        <v>341</v>
      </c>
      <c r="G572" s="400" t="s">
        <v>1110</v>
      </c>
      <c r="H572" s="426" t="s">
        <v>355</v>
      </c>
      <c r="I572" s="435">
        <v>5117402</v>
      </c>
      <c r="J572" s="153" t="s">
        <v>346</v>
      </c>
      <c r="K572" s="412" t="s">
        <v>1115</v>
      </c>
      <c r="L572" s="412"/>
      <c r="M572" s="450" t="s">
        <v>1116</v>
      </c>
      <c r="N572" s="97">
        <v>2026</v>
      </c>
      <c r="O572" s="498"/>
    </row>
    <row r="573" spans="2:15" s="76" customFormat="1">
      <c r="B573" s="104"/>
      <c r="C573" s="104" t="s">
        <v>373</v>
      </c>
      <c r="D573" s="378" t="e" cm="1">
        <f t="array" aca="1" ref="D57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73" s="400" t="s">
        <v>384</v>
      </c>
      <c r="F573" s="104" t="s">
        <v>341</v>
      </c>
      <c r="G573" s="400" t="s">
        <v>1110</v>
      </c>
      <c r="H573" s="426" t="s">
        <v>355</v>
      </c>
      <c r="I573" s="435">
        <v>7054450</v>
      </c>
      <c r="J573" s="153" t="s">
        <v>349</v>
      </c>
      <c r="K573" s="412" t="s">
        <v>1117</v>
      </c>
      <c r="L573" s="412"/>
      <c r="M573" s="450" t="s">
        <v>1116</v>
      </c>
      <c r="N573" s="97">
        <v>2026</v>
      </c>
      <c r="O573" s="498"/>
    </row>
    <row r="574" spans="2:15" customFormat="1">
      <c r="B574" s="104"/>
      <c r="C574" s="104" t="s">
        <v>422</v>
      </c>
      <c r="D574" s="378" t="e" cm="1">
        <f t="array" aca="1" ref="D57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74" s="99" t="s">
        <v>1109</v>
      </c>
      <c r="F574" s="104" t="s">
        <v>341</v>
      </c>
      <c r="G574" s="99" t="s">
        <v>1110</v>
      </c>
      <c r="H574" s="426" t="s">
        <v>345</v>
      </c>
      <c r="I574" s="435">
        <v>8574600</v>
      </c>
      <c r="J574" s="153" t="s">
        <v>349</v>
      </c>
      <c r="K574" s="412" t="s">
        <v>1118</v>
      </c>
      <c r="L574" s="412"/>
      <c r="M574" s="450" t="s">
        <v>1119</v>
      </c>
      <c r="N574" s="97">
        <v>2026</v>
      </c>
      <c r="O574" s="258"/>
    </row>
    <row r="575" spans="2:15" customFormat="1">
      <c r="B575" s="104"/>
      <c r="C575" s="104" t="s">
        <v>422</v>
      </c>
      <c r="D575" s="378" t="e" cm="1">
        <f t="array" aca="1" ref="D57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75" s="400" t="s">
        <v>384</v>
      </c>
      <c r="F575" s="104" t="s">
        <v>341</v>
      </c>
      <c r="G575" s="99" t="s">
        <v>1110</v>
      </c>
      <c r="H575" s="426" t="s">
        <v>345</v>
      </c>
      <c r="I575" s="435">
        <f>2988524+1913514</f>
        <v>4902038</v>
      </c>
      <c r="J575" s="153" t="s">
        <v>349</v>
      </c>
      <c r="K575" s="412" t="s">
        <v>1120</v>
      </c>
      <c r="L575" s="412"/>
      <c r="M575" s="450" t="s">
        <v>1119</v>
      </c>
      <c r="N575" s="97">
        <v>2026</v>
      </c>
      <c r="O575" s="258"/>
    </row>
    <row r="576" spans="2:15" customFormat="1">
      <c r="B576" s="104"/>
      <c r="C576" s="104" t="s">
        <v>422</v>
      </c>
      <c r="D576" s="378" t="e" cm="1">
        <f t="array" aca="1" ref="D57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76" s="400" t="s">
        <v>384</v>
      </c>
      <c r="F576" s="104" t="s">
        <v>341</v>
      </c>
      <c r="G576" s="99" t="s">
        <v>1110</v>
      </c>
      <c r="H576" s="426" t="s">
        <v>355</v>
      </c>
      <c r="I576" s="435">
        <v>7509000</v>
      </c>
      <c r="J576" s="153" t="s">
        <v>343</v>
      </c>
      <c r="K576" s="413" t="s">
        <v>1121</v>
      </c>
      <c r="L576" s="412"/>
      <c r="M576" s="450" t="s">
        <v>1122</v>
      </c>
      <c r="N576" s="97">
        <v>2026</v>
      </c>
      <c r="O576" s="258"/>
    </row>
    <row r="577" spans="2:15" s="38" customFormat="1" ht="27.6">
      <c r="B577" s="178"/>
      <c r="C577" s="178" t="s">
        <v>422</v>
      </c>
      <c r="D577" s="378" t="e" cm="1">
        <f t="array" aca="1" ref="D57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77" s="417" t="s">
        <v>384</v>
      </c>
      <c r="F577" s="178" t="s">
        <v>341</v>
      </c>
      <c r="G577" s="414" t="s">
        <v>1110</v>
      </c>
      <c r="H577" s="432" t="s">
        <v>355</v>
      </c>
      <c r="I577" s="438">
        <v>7509000</v>
      </c>
      <c r="J577" s="179" t="s">
        <v>343</v>
      </c>
      <c r="K577" s="415" t="s">
        <v>1123</v>
      </c>
      <c r="L577" s="459"/>
      <c r="M577" s="460" t="s">
        <v>1124</v>
      </c>
      <c r="N577" s="97">
        <v>2026</v>
      </c>
      <c r="O577" s="495"/>
    </row>
    <row r="578" spans="2:15" s="38" customFormat="1" ht="27.6">
      <c r="B578" s="178"/>
      <c r="C578" s="178" t="s">
        <v>422</v>
      </c>
      <c r="D578" s="378" t="e" cm="1">
        <f t="array" aca="1" ref="D57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78" s="417" t="s">
        <v>384</v>
      </c>
      <c r="F578" s="178" t="s">
        <v>341</v>
      </c>
      <c r="G578" s="414" t="s">
        <v>1110</v>
      </c>
      <c r="H578" s="432" t="s">
        <v>355</v>
      </c>
      <c r="I578" s="438">
        <v>1118617</v>
      </c>
      <c r="J578" s="179" t="s">
        <v>346</v>
      </c>
      <c r="K578" s="415" t="s">
        <v>1125</v>
      </c>
      <c r="L578" s="459"/>
      <c r="M578" s="460" t="s">
        <v>1124</v>
      </c>
      <c r="N578" s="97">
        <v>2026</v>
      </c>
      <c r="O578" s="495"/>
    </row>
    <row r="579" spans="2:15" s="38" customFormat="1" ht="41.4">
      <c r="B579" s="178"/>
      <c r="C579" s="178" t="s">
        <v>418</v>
      </c>
      <c r="D579" s="378" t="e" cm="1">
        <f t="array" aca="1" ref="D57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79" s="414" t="s">
        <v>1109</v>
      </c>
      <c r="F579" s="178" t="s">
        <v>341</v>
      </c>
      <c r="G579" s="414" t="s">
        <v>1110</v>
      </c>
      <c r="H579" s="432" t="s">
        <v>342</v>
      </c>
      <c r="I579" s="438">
        <v>10620000</v>
      </c>
      <c r="J579" s="179" t="s">
        <v>349</v>
      </c>
      <c r="K579" s="415" t="s">
        <v>1126</v>
      </c>
      <c r="L579" s="459"/>
      <c r="M579" s="460" t="s">
        <v>1127</v>
      </c>
      <c r="N579" s="97">
        <v>2026</v>
      </c>
      <c r="O579" s="495"/>
    </row>
    <row r="580" spans="2:15" s="38" customFormat="1">
      <c r="B580" s="178"/>
      <c r="C580" s="178" t="s">
        <v>425</v>
      </c>
      <c r="D580" s="378" t="e" cm="1">
        <f t="array" aca="1" ref="D58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80" s="417" t="s">
        <v>384</v>
      </c>
      <c r="F580" s="178" t="s">
        <v>341</v>
      </c>
      <c r="G580" s="417" t="s">
        <v>1110</v>
      </c>
      <c r="H580" s="432" t="s">
        <v>355</v>
      </c>
      <c r="I580" s="438">
        <v>2543000</v>
      </c>
      <c r="J580" s="179" t="s">
        <v>346</v>
      </c>
      <c r="K580" s="415" t="s">
        <v>1128</v>
      </c>
      <c r="L580" s="459"/>
      <c r="M580" s="460" t="s">
        <v>1129</v>
      </c>
      <c r="N580" s="97">
        <v>2026</v>
      </c>
      <c r="O580" s="495"/>
    </row>
    <row r="581" spans="2:15" s="38" customFormat="1">
      <c r="B581" s="104"/>
      <c r="C581" s="178" t="s">
        <v>425</v>
      </c>
      <c r="D581" s="378" t="e" cm="1">
        <f t="array" aca="1" ref="D58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81" s="417" t="s">
        <v>384</v>
      </c>
      <c r="F581" s="178" t="s">
        <v>341</v>
      </c>
      <c r="G581" s="417" t="s">
        <v>1110</v>
      </c>
      <c r="H581" s="432" t="s">
        <v>355</v>
      </c>
      <c r="I581" s="438">
        <v>2800000</v>
      </c>
      <c r="J581" s="179" t="s">
        <v>349</v>
      </c>
      <c r="K581" s="415" t="s">
        <v>1130</v>
      </c>
      <c r="L581" s="412"/>
      <c r="M581" s="460" t="s">
        <v>1129</v>
      </c>
      <c r="N581" s="97">
        <v>2026</v>
      </c>
      <c r="O581" s="495"/>
    </row>
    <row r="582" spans="2:15" customFormat="1">
      <c r="B582" s="104"/>
      <c r="C582" s="83" t="s">
        <v>432</v>
      </c>
      <c r="D582" s="378" t="e" cm="1">
        <f t="array" aca="1" ref="D58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82" s="400" t="s">
        <v>874</v>
      </c>
      <c r="F582" s="104" t="s">
        <v>350</v>
      </c>
      <c r="G582" s="99" t="s">
        <v>875</v>
      </c>
      <c r="H582" s="425" t="s">
        <v>353</v>
      </c>
      <c r="I582" s="395">
        <v>274078272</v>
      </c>
      <c r="J582" s="105" t="s">
        <v>349</v>
      </c>
      <c r="K582" s="394" t="s">
        <v>880</v>
      </c>
      <c r="L582" s="400" t="s">
        <v>858</v>
      </c>
      <c r="M582" s="450"/>
      <c r="N582" s="97">
        <v>2026</v>
      </c>
      <c r="O582" s="258"/>
    </row>
    <row r="583" spans="2:15" customFormat="1">
      <c r="B583" s="104"/>
      <c r="C583" s="59" t="s">
        <v>432</v>
      </c>
      <c r="D583" s="378" t="e" cm="1">
        <f t="array" aca="1" ref="D58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83" s="99" t="s">
        <v>878</v>
      </c>
      <c r="F583" s="104" t="s">
        <v>350</v>
      </c>
      <c r="G583" s="99" t="s">
        <v>875</v>
      </c>
      <c r="H583" s="426" t="s">
        <v>353</v>
      </c>
      <c r="I583" s="435">
        <v>40507926</v>
      </c>
      <c r="J583" s="153" t="s">
        <v>349</v>
      </c>
      <c r="K583" s="384" t="s">
        <v>880</v>
      </c>
      <c r="L583" s="412" t="s">
        <v>860</v>
      </c>
      <c r="M583" s="450"/>
      <c r="N583" s="97">
        <v>2026</v>
      </c>
      <c r="O583" s="258"/>
    </row>
    <row r="584" spans="2:15" customFormat="1">
      <c r="B584" s="104"/>
      <c r="C584" s="83" t="s">
        <v>432</v>
      </c>
      <c r="D584" s="378" t="e" cm="1">
        <f t="array" aca="1" ref="D58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84" s="56" t="s">
        <v>384</v>
      </c>
      <c r="F584" s="104" t="s">
        <v>350</v>
      </c>
      <c r="G584" s="56" t="s">
        <v>875</v>
      </c>
      <c r="H584" s="426" t="s">
        <v>345</v>
      </c>
      <c r="I584" s="435">
        <v>22185340</v>
      </c>
      <c r="J584" s="153" t="s">
        <v>349</v>
      </c>
      <c r="K584" s="490" t="s">
        <v>880</v>
      </c>
      <c r="L584" s="491" t="s">
        <v>860</v>
      </c>
      <c r="M584" s="450"/>
      <c r="N584" s="244">
        <v>2026</v>
      </c>
      <c r="O584" s="258"/>
    </row>
    <row r="585" spans="2:15" customFormat="1">
      <c r="B585" s="104"/>
      <c r="C585" s="83" t="s">
        <v>432</v>
      </c>
      <c r="D585" s="378" t="e" cm="1">
        <f t="array" aca="1" ref="D58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85" s="99" t="s">
        <v>384</v>
      </c>
      <c r="F585" s="104" t="s">
        <v>350</v>
      </c>
      <c r="G585" s="99" t="s">
        <v>875</v>
      </c>
      <c r="H585" s="426" t="s">
        <v>353</v>
      </c>
      <c r="I585" s="435">
        <v>57064811</v>
      </c>
      <c r="J585" s="153" t="s">
        <v>346</v>
      </c>
      <c r="K585" s="384" t="s">
        <v>880</v>
      </c>
      <c r="L585" s="412" t="s">
        <v>860</v>
      </c>
      <c r="M585" s="450"/>
      <c r="N585" s="97">
        <v>2026</v>
      </c>
      <c r="O585" s="258"/>
    </row>
    <row r="586" spans="2:15" customFormat="1">
      <c r="B586" s="104"/>
      <c r="C586" s="394" t="s">
        <v>373</v>
      </c>
      <c r="D586" s="378" t="e" cm="1">
        <f t="array" aca="1" ref="D58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86" s="99" t="s">
        <v>874</v>
      </c>
      <c r="F586" s="104" t="s">
        <v>350</v>
      </c>
      <c r="G586" s="99" t="s">
        <v>875</v>
      </c>
      <c r="H586" s="426" t="s">
        <v>353</v>
      </c>
      <c r="I586" s="435">
        <v>256402373.91666666</v>
      </c>
      <c r="J586" s="153" t="s">
        <v>349</v>
      </c>
      <c r="K586" s="384" t="s">
        <v>116</v>
      </c>
      <c r="L586" s="412" t="s">
        <v>858</v>
      </c>
      <c r="M586" s="450" t="s">
        <v>1131</v>
      </c>
      <c r="N586" s="97">
        <v>2026</v>
      </c>
      <c r="O586" s="258"/>
    </row>
    <row r="587" spans="2:15" customFormat="1">
      <c r="B587" s="104"/>
      <c r="C587" s="104" t="s">
        <v>373</v>
      </c>
      <c r="D587" s="378" t="e" cm="1">
        <f t="array" aca="1" ref="D58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87" s="99" t="s">
        <v>878</v>
      </c>
      <c r="F587" s="104" t="s">
        <v>350</v>
      </c>
      <c r="G587" s="56" t="s">
        <v>875</v>
      </c>
      <c r="H587" s="426" t="s">
        <v>353</v>
      </c>
      <c r="I587" s="435">
        <v>64588644</v>
      </c>
      <c r="J587" s="153" t="s">
        <v>349</v>
      </c>
      <c r="K587" s="490" t="s">
        <v>116</v>
      </c>
      <c r="L587" s="491" t="s">
        <v>860</v>
      </c>
      <c r="M587" s="450"/>
      <c r="N587" s="244">
        <v>2026</v>
      </c>
      <c r="O587" s="258"/>
    </row>
    <row r="588" spans="2:15" customFormat="1">
      <c r="B588" s="104"/>
      <c r="C588" s="104" t="s">
        <v>373</v>
      </c>
      <c r="D588" s="378" t="e" cm="1">
        <f t="array" aca="1" ref="D58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88" s="99" t="s">
        <v>878</v>
      </c>
      <c r="F588" s="104" t="s">
        <v>350</v>
      </c>
      <c r="G588" s="56" t="s">
        <v>875</v>
      </c>
      <c r="H588" s="426" t="s">
        <v>355</v>
      </c>
      <c r="I588" s="435">
        <v>58357717</v>
      </c>
      <c r="J588" s="153" t="s">
        <v>349</v>
      </c>
      <c r="K588" s="490" t="s">
        <v>116</v>
      </c>
      <c r="L588" s="491" t="s">
        <v>860</v>
      </c>
      <c r="M588" s="450"/>
      <c r="N588" s="244">
        <v>2026</v>
      </c>
      <c r="O588" s="258"/>
    </row>
    <row r="589" spans="2:15" customFormat="1">
      <c r="B589" s="104"/>
      <c r="C589" s="394" t="s">
        <v>373</v>
      </c>
      <c r="D589" s="378" t="e" cm="1">
        <f t="array" aca="1" ref="D58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89" s="99" t="s">
        <v>878</v>
      </c>
      <c r="F589" s="104" t="s">
        <v>350</v>
      </c>
      <c r="G589" s="99" t="s">
        <v>875</v>
      </c>
      <c r="H589" s="426" t="s">
        <v>351</v>
      </c>
      <c r="I589" s="435">
        <v>56293363</v>
      </c>
      <c r="J589" s="153" t="s">
        <v>349</v>
      </c>
      <c r="K589" s="384" t="s">
        <v>116</v>
      </c>
      <c r="L589" s="412" t="s">
        <v>860</v>
      </c>
      <c r="M589" s="450" t="s">
        <v>876</v>
      </c>
      <c r="N589" s="97">
        <v>2026</v>
      </c>
      <c r="O589" s="258"/>
    </row>
    <row r="590" spans="2:15" customFormat="1">
      <c r="B590" s="104"/>
      <c r="C590" s="394" t="s">
        <v>373</v>
      </c>
      <c r="D590" s="378" t="e" cm="1">
        <f t="array" aca="1" ref="D59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90" s="99" t="s">
        <v>879</v>
      </c>
      <c r="F590" s="104" t="s">
        <v>350</v>
      </c>
      <c r="G590" s="99" t="s">
        <v>875</v>
      </c>
      <c r="H590" s="426" t="s">
        <v>353</v>
      </c>
      <c r="I590" s="395">
        <v>42000000</v>
      </c>
      <c r="J590" s="105" t="s">
        <v>349</v>
      </c>
      <c r="K590" s="96" t="s">
        <v>116</v>
      </c>
      <c r="L590" s="99" t="s">
        <v>860</v>
      </c>
      <c r="M590" s="450" t="s">
        <v>1132</v>
      </c>
      <c r="N590" s="97">
        <v>2026</v>
      </c>
      <c r="O590" s="258"/>
    </row>
    <row r="591" spans="2:15" customFormat="1">
      <c r="B591" s="104"/>
      <c r="C591" s="104" t="s">
        <v>373</v>
      </c>
      <c r="D591" s="378" t="e" cm="1">
        <f t="array" aca="1" ref="D59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91" s="99" t="s">
        <v>955</v>
      </c>
      <c r="F591" s="104" t="s">
        <v>352</v>
      </c>
      <c r="G591" s="400" t="s">
        <v>883</v>
      </c>
      <c r="H591" s="426" t="s">
        <v>351</v>
      </c>
      <c r="I591" s="395">
        <v>14402250</v>
      </c>
      <c r="J591" s="105" t="s">
        <v>349</v>
      </c>
      <c r="K591" s="96" t="s">
        <v>886</v>
      </c>
      <c r="L591" s="99" t="s">
        <v>858</v>
      </c>
      <c r="M591" s="450"/>
      <c r="N591" s="97">
        <v>2026</v>
      </c>
      <c r="O591" s="258"/>
    </row>
    <row r="592" spans="2:15" customFormat="1">
      <c r="B592" s="104"/>
      <c r="C592" s="104" t="s">
        <v>373</v>
      </c>
      <c r="D592" s="378" t="e" cm="1">
        <f t="array" aca="1" ref="D59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92" s="99" t="s">
        <v>955</v>
      </c>
      <c r="F592" s="104" t="s">
        <v>352</v>
      </c>
      <c r="G592" s="400" t="s">
        <v>883</v>
      </c>
      <c r="H592" s="426" t="s">
        <v>351</v>
      </c>
      <c r="I592" s="395">
        <v>18342750</v>
      </c>
      <c r="J592" s="105" t="s">
        <v>349</v>
      </c>
      <c r="K592" s="96" t="s">
        <v>886</v>
      </c>
      <c r="L592" s="99" t="s">
        <v>858</v>
      </c>
      <c r="M592" s="450"/>
      <c r="N592" s="97">
        <v>2026</v>
      </c>
      <c r="O592" s="258"/>
    </row>
    <row r="593" spans="2:15">
      <c r="B593" s="98"/>
      <c r="C593" s="104" t="s">
        <v>373</v>
      </c>
      <c r="D593" s="378" t="e" cm="1">
        <f t="array" aca="1" ref="D59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93" s="99" t="s">
        <v>955</v>
      </c>
      <c r="F593" s="104" t="s">
        <v>352</v>
      </c>
      <c r="G593" s="400" t="s">
        <v>883</v>
      </c>
      <c r="H593" s="426" t="s">
        <v>351</v>
      </c>
      <c r="I593" s="395">
        <v>74841750</v>
      </c>
      <c r="J593" s="105" t="s">
        <v>349</v>
      </c>
      <c r="K593" s="96" t="s">
        <v>886</v>
      </c>
      <c r="L593" s="99" t="s">
        <v>858</v>
      </c>
      <c r="M593" s="244"/>
      <c r="N593" s="97">
        <v>2026</v>
      </c>
      <c r="O593" s="496"/>
    </row>
    <row r="594" spans="2:15">
      <c r="B594" s="98"/>
      <c r="C594" s="396" t="s">
        <v>415</v>
      </c>
      <c r="D594" s="418" t="e" cm="1">
        <f t="array" aca="1" ref="D59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94" s="419" t="s">
        <v>950</v>
      </c>
      <c r="F594" s="375" t="s">
        <v>352</v>
      </c>
      <c r="G594" s="419" t="s">
        <v>883</v>
      </c>
      <c r="H594" s="433" t="s">
        <v>351</v>
      </c>
      <c r="I594" s="402">
        <v>16350000</v>
      </c>
      <c r="J594" s="376" t="s">
        <v>349</v>
      </c>
      <c r="K594" s="396" t="s">
        <v>951</v>
      </c>
      <c r="L594" s="401" t="s">
        <v>858</v>
      </c>
      <c r="M594" s="450" t="s">
        <v>1133</v>
      </c>
      <c r="N594" s="97">
        <v>2026</v>
      </c>
      <c r="O594" s="496"/>
    </row>
    <row r="595" spans="2:15">
      <c r="B595" s="98"/>
      <c r="C595" s="396" t="s">
        <v>415</v>
      </c>
      <c r="D595" s="418" t="e" cm="1">
        <f t="array" aca="1" ref="D59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95" s="419" t="s">
        <v>950</v>
      </c>
      <c r="F595" s="375" t="s">
        <v>352</v>
      </c>
      <c r="G595" s="419" t="s">
        <v>883</v>
      </c>
      <c r="H595" s="433" t="s">
        <v>353</v>
      </c>
      <c r="I595" s="402">
        <v>16350000</v>
      </c>
      <c r="J595" s="376" t="s">
        <v>349</v>
      </c>
      <c r="K595" s="396" t="s">
        <v>951</v>
      </c>
      <c r="L595" s="401" t="s">
        <v>858</v>
      </c>
      <c r="M595" s="450" t="s">
        <v>1134</v>
      </c>
      <c r="N595" s="97">
        <v>2026</v>
      </c>
      <c r="O595" s="496"/>
    </row>
    <row r="596" spans="2:15">
      <c r="B596" s="98"/>
      <c r="C596" s="2" t="s">
        <v>432</v>
      </c>
      <c r="D596" t="s">
        <v>730</v>
      </c>
      <c r="E596" t="s">
        <v>874</v>
      </c>
      <c r="F596" s="2" t="s">
        <v>350</v>
      </c>
      <c r="G596" t="s">
        <v>875</v>
      </c>
      <c r="H596" s="427" t="s">
        <v>355</v>
      </c>
      <c r="I596" s="463">
        <v>277888938</v>
      </c>
      <c r="J596" s="464" t="s">
        <v>349</v>
      </c>
      <c r="K596" s="2" t="s">
        <v>880</v>
      </c>
      <c r="L596" t="s">
        <v>858</v>
      </c>
      <c r="M596" s="462"/>
      <c r="N596" s="244">
        <v>2026</v>
      </c>
      <c r="O596" s="496"/>
    </row>
    <row r="597" spans="2:15">
      <c r="B597" s="98"/>
      <c r="C597" s="59" t="s">
        <v>432</v>
      </c>
      <c r="D597" s="218" t="s">
        <v>730</v>
      </c>
      <c r="E597" t="s">
        <v>878</v>
      </c>
      <c r="F597" s="2" t="s">
        <v>350</v>
      </c>
      <c r="G597" t="s">
        <v>875</v>
      </c>
      <c r="H597" s="427" t="s">
        <v>355</v>
      </c>
      <c r="I597" s="395">
        <v>65018924</v>
      </c>
      <c r="J597" s="464" t="s">
        <v>349</v>
      </c>
      <c r="K597" s="2" t="s">
        <v>880</v>
      </c>
      <c r="L597" t="s">
        <v>858</v>
      </c>
      <c r="M597" s="462"/>
      <c r="N597" s="244">
        <v>2026</v>
      </c>
      <c r="O597" s="496"/>
    </row>
    <row r="598" spans="2:15">
      <c r="B598" s="98"/>
      <c r="C598" s="59" t="s">
        <v>432</v>
      </c>
      <c r="D598" s="218" t="s">
        <v>730</v>
      </c>
      <c r="E598" t="s">
        <v>384</v>
      </c>
      <c r="F598" s="2" t="s">
        <v>350</v>
      </c>
      <c r="G598" t="s">
        <v>875</v>
      </c>
      <c r="H598" s="427" t="s">
        <v>355</v>
      </c>
      <c r="I598" s="395">
        <v>22595731</v>
      </c>
      <c r="J598" t="s">
        <v>349</v>
      </c>
      <c r="K598" s="2" t="s">
        <v>880</v>
      </c>
      <c r="L598" t="s">
        <v>860</v>
      </c>
      <c r="M598" s="462"/>
      <c r="N598" s="244">
        <v>2026</v>
      </c>
      <c r="O598" s="496"/>
    </row>
    <row r="599" spans="2:15">
      <c r="B599" s="98"/>
      <c r="C599" s="83" t="s">
        <v>373</v>
      </c>
      <c r="D599" s="218" t="e" cm="1">
        <f t="array" aca="1" ref="D59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599" t="s">
        <v>874</v>
      </c>
      <c r="F599" s="2" t="s">
        <v>350</v>
      </c>
      <c r="G599" t="s">
        <v>875</v>
      </c>
      <c r="H599" s="427" t="s">
        <v>355</v>
      </c>
      <c r="I599" s="395">
        <v>256943957.58333334</v>
      </c>
      <c r="J599" t="s">
        <v>349</v>
      </c>
      <c r="K599" s="2" t="s">
        <v>116</v>
      </c>
      <c r="L599" t="s">
        <v>858</v>
      </c>
      <c r="M599" s="462"/>
      <c r="N599" s="244">
        <v>2026</v>
      </c>
      <c r="O599" s="496"/>
    </row>
    <row r="600" spans="2:15">
      <c r="B600" s="98"/>
      <c r="C600" s="83" t="s">
        <v>373</v>
      </c>
      <c r="D600" s="218" t="e" cm="1">
        <f t="array" aca="1" ref="D60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00" t="s">
        <v>384</v>
      </c>
      <c r="F600" s="2" t="s">
        <v>350</v>
      </c>
      <c r="G600" t="s">
        <v>875</v>
      </c>
      <c r="H600" s="427" t="s">
        <v>351</v>
      </c>
      <c r="I600" s="395">
        <v>7637210</v>
      </c>
      <c r="J600" t="s">
        <v>349</v>
      </c>
      <c r="K600" s="2" t="s">
        <v>116</v>
      </c>
      <c r="L600" t="s">
        <v>858</v>
      </c>
      <c r="M600" s="462"/>
      <c r="N600" s="244">
        <v>2026</v>
      </c>
      <c r="O600" s="496"/>
    </row>
    <row r="601" spans="2:15">
      <c r="B601" s="98"/>
      <c r="C601" s="83" t="s">
        <v>373</v>
      </c>
      <c r="D601" s="218" t="e" cm="1">
        <f t="array" aca="1" ref="D60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01" t="s">
        <v>384</v>
      </c>
      <c r="F601" s="2" t="s">
        <v>350</v>
      </c>
      <c r="G601" t="s">
        <v>875</v>
      </c>
      <c r="H601" s="427" t="s">
        <v>353</v>
      </c>
      <c r="I601" s="395">
        <v>12216351</v>
      </c>
      <c r="J601" t="s">
        <v>349</v>
      </c>
      <c r="K601" s="2" t="s">
        <v>116</v>
      </c>
      <c r="L601" t="s">
        <v>858</v>
      </c>
      <c r="M601" s="462"/>
      <c r="N601" s="244">
        <v>2026</v>
      </c>
      <c r="O601" s="496"/>
    </row>
    <row r="602" spans="2:15">
      <c r="B602" s="98"/>
      <c r="C602" s="396" t="s">
        <v>415</v>
      </c>
      <c r="D602" s="418" t="e" cm="1">
        <f t="array" aca="1" ref="D60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02" s="419" t="s">
        <v>950</v>
      </c>
      <c r="F602" s="375" t="s">
        <v>352</v>
      </c>
      <c r="G602" s="419" t="s">
        <v>883</v>
      </c>
      <c r="H602" s="433" t="s">
        <v>355</v>
      </c>
      <c r="I602" s="402">
        <v>16350000</v>
      </c>
      <c r="J602" s="376" t="s">
        <v>349</v>
      </c>
      <c r="K602" s="396" t="s">
        <v>951</v>
      </c>
      <c r="L602" s="401" t="s">
        <v>858</v>
      </c>
      <c r="M602" s="450" t="s">
        <v>1135</v>
      </c>
      <c r="N602" s="97">
        <v>2026</v>
      </c>
      <c r="O602" s="496"/>
    </row>
    <row r="603" spans="2:15">
      <c r="B603" s="98"/>
      <c r="C603" s="104" t="s">
        <v>373</v>
      </c>
      <c r="D603" s="378" t="e" cm="1">
        <f t="array" aca="1" ref="D60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03" s="99" t="s">
        <v>955</v>
      </c>
      <c r="F603" s="104" t="s">
        <v>352</v>
      </c>
      <c r="G603" s="400" t="s">
        <v>883</v>
      </c>
      <c r="H603" s="425" t="s">
        <v>353</v>
      </c>
      <c r="I603" s="395">
        <v>15900750</v>
      </c>
      <c r="J603" s="105" t="s">
        <v>349</v>
      </c>
      <c r="K603" s="96" t="s">
        <v>886</v>
      </c>
      <c r="L603" s="99" t="s">
        <v>858</v>
      </c>
      <c r="M603" s="244"/>
      <c r="N603" s="97">
        <v>2026</v>
      </c>
      <c r="O603" s="496"/>
    </row>
    <row r="604" spans="2:15">
      <c r="B604" s="335"/>
      <c r="C604" s="335" t="s">
        <v>373</v>
      </c>
      <c r="D604" s="420" t="e" cm="1">
        <f t="array" aca="1" ref="D60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04" s="421" t="s">
        <v>1028</v>
      </c>
      <c r="F604" s="335" t="s">
        <v>352</v>
      </c>
      <c r="G604" s="421"/>
      <c r="H604" s="461" t="s">
        <v>353</v>
      </c>
      <c r="I604" s="398"/>
      <c r="J604" s="336"/>
      <c r="K604" s="403"/>
      <c r="L604" s="406"/>
      <c r="M604" s="97"/>
      <c r="N604" s="97">
        <v>2026</v>
      </c>
      <c r="O604" s="496"/>
    </row>
    <row r="605" spans="2:15">
      <c r="B605" s="335"/>
      <c r="C605" s="335" t="s">
        <v>373</v>
      </c>
      <c r="D605" s="420" t="e" cm="1">
        <f t="array" aca="1" ref="D60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05" s="421" t="s">
        <v>1028</v>
      </c>
      <c r="F605" s="335" t="s">
        <v>352</v>
      </c>
      <c r="G605" s="421"/>
      <c r="H605" s="461" t="s">
        <v>353</v>
      </c>
      <c r="I605" s="398"/>
      <c r="J605" s="336"/>
      <c r="K605" s="403"/>
      <c r="L605" s="406"/>
      <c r="M605" s="97"/>
      <c r="N605" s="97">
        <v>2026</v>
      </c>
      <c r="O605" s="496"/>
    </row>
    <row r="606" spans="2:15">
      <c r="B606" s="335"/>
      <c r="C606" s="335" t="s">
        <v>373</v>
      </c>
      <c r="D606" s="420" t="e" cm="1">
        <f t="array" aca="1" ref="D60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06" s="421" t="s">
        <v>1028</v>
      </c>
      <c r="F606" s="335" t="s">
        <v>352</v>
      </c>
      <c r="G606" s="421"/>
      <c r="H606" s="461" t="s">
        <v>353</v>
      </c>
      <c r="I606" s="398"/>
      <c r="J606" s="336"/>
      <c r="K606" s="403"/>
      <c r="L606" s="406"/>
      <c r="M606" s="97"/>
      <c r="N606" s="97">
        <v>2026</v>
      </c>
      <c r="O606" s="496"/>
    </row>
    <row r="607" spans="2:15">
      <c r="B607" s="104"/>
      <c r="C607" s="104" t="s">
        <v>373</v>
      </c>
      <c r="D607" s="378" t="e" cm="1">
        <f t="array" aca="1" ref="D607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07" s="99" t="s">
        <v>955</v>
      </c>
      <c r="F607" s="104" t="s">
        <v>352</v>
      </c>
      <c r="G607" s="400" t="s">
        <v>883</v>
      </c>
      <c r="H607" s="425" t="s">
        <v>353</v>
      </c>
      <c r="I607" s="395">
        <v>14402250</v>
      </c>
      <c r="J607" s="105" t="s">
        <v>349</v>
      </c>
      <c r="K607" s="96" t="s">
        <v>886</v>
      </c>
      <c r="L607" s="99" t="s">
        <v>858</v>
      </c>
      <c r="M607" s="97"/>
      <c r="N607" s="97">
        <v>2026</v>
      </c>
      <c r="O607" s="496"/>
    </row>
    <row r="608" spans="2:15">
      <c r="B608" s="98"/>
      <c r="C608" s="104" t="s">
        <v>373</v>
      </c>
      <c r="D608" s="378" t="e" cm="1">
        <f t="array" aca="1" ref="D608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08" s="99" t="s">
        <v>955</v>
      </c>
      <c r="F608" s="104" t="s">
        <v>352</v>
      </c>
      <c r="G608" s="400" t="s">
        <v>883</v>
      </c>
      <c r="H608" s="425" t="s">
        <v>353</v>
      </c>
      <c r="I608" s="395">
        <v>18342750</v>
      </c>
      <c r="J608" s="105" t="s">
        <v>349</v>
      </c>
      <c r="K608" s="96" t="s">
        <v>886</v>
      </c>
      <c r="L608" s="99" t="s">
        <v>858</v>
      </c>
      <c r="M608" s="244"/>
      <c r="N608" s="97">
        <v>2026</v>
      </c>
      <c r="O608" s="496"/>
    </row>
    <row r="609" spans="1:15">
      <c r="B609" s="104"/>
      <c r="C609" s="104" t="s">
        <v>373</v>
      </c>
      <c r="D609" s="378" t="e" cm="1">
        <f t="array" aca="1" ref="D60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09" s="99" t="s">
        <v>955</v>
      </c>
      <c r="F609" s="104" t="s">
        <v>352</v>
      </c>
      <c r="G609" s="400" t="s">
        <v>883</v>
      </c>
      <c r="H609" s="425" t="s">
        <v>353</v>
      </c>
      <c r="I609" s="395">
        <v>75119250</v>
      </c>
      <c r="J609" s="105" t="s">
        <v>349</v>
      </c>
      <c r="K609" s="96" t="s">
        <v>886</v>
      </c>
      <c r="L609" s="99" t="s">
        <v>858</v>
      </c>
      <c r="M609" s="97"/>
      <c r="N609" s="97">
        <v>2026</v>
      </c>
      <c r="O609" s="496"/>
    </row>
    <row r="610" spans="1:15">
      <c r="B610" s="104"/>
      <c r="C610" s="104" t="s">
        <v>373</v>
      </c>
      <c r="D610" s="378" t="e" cm="1">
        <f t="array" aca="1" ref="D61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10" s="400" t="s">
        <v>885</v>
      </c>
      <c r="F610" s="104" t="s">
        <v>352</v>
      </c>
      <c r="G610" s="400" t="s">
        <v>883</v>
      </c>
      <c r="H610" s="426" t="s">
        <v>345</v>
      </c>
      <c r="I610" s="435">
        <v>320974810</v>
      </c>
      <c r="J610" s="153" t="s">
        <v>346</v>
      </c>
      <c r="K610" s="384" t="s">
        <v>911</v>
      </c>
      <c r="L610" s="99" t="s">
        <v>858</v>
      </c>
      <c r="M610" s="97"/>
      <c r="N610" s="97">
        <v>2026</v>
      </c>
      <c r="O610" s="496"/>
    </row>
    <row r="611" spans="1:15">
      <c r="B611" s="104"/>
      <c r="C611" s="104" t="s">
        <v>373</v>
      </c>
      <c r="D611" s="378" t="e" cm="1">
        <f t="array" aca="1" ref="D61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11" s="400" t="s">
        <v>885</v>
      </c>
      <c r="F611" s="104" t="s">
        <v>352</v>
      </c>
      <c r="G611" s="400" t="s">
        <v>883</v>
      </c>
      <c r="H611" s="426" t="s">
        <v>348</v>
      </c>
      <c r="I611" s="435">
        <v>321139997</v>
      </c>
      <c r="J611" s="153" t="s">
        <v>346</v>
      </c>
      <c r="K611" s="384" t="s">
        <v>911</v>
      </c>
      <c r="L611" s="406"/>
      <c r="M611" s="97"/>
      <c r="N611" s="97">
        <v>2026</v>
      </c>
      <c r="O611" s="496"/>
    </row>
    <row r="612" spans="1:15">
      <c r="B612" s="104"/>
      <c r="C612" s="104" t="s">
        <v>373</v>
      </c>
      <c r="D612" s="378" t="e" cm="1">
        <f t="array" aca="1" ref="D61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12" s="400" t="s">
        <v>885</v>
      </c>
      <c r="F612" s="104" t="s">
        <v>352</v>
      </c>
      <c r="G612" s="400" t="s">
        <v>883</v>
      </c>
      <c r="H612" s="426" t="s">
        <v>351</v>
      </c>
      <c r="I612" s="435">
        <v>320940125</v>
      </c>
      <c r="J612" s="153" t="s">
        <v>346</v>
      </c>
      <c r="K612" s="384" t="s">
        <v>911</v>
      </c>
      <c r="L612" s="406"/>
      <c r="M612" s="97"/>
      <c r="N612" s="97">
        <v>2026</v>
      </c>
      <c r="O612" s="496"/>
    </row>
    <row r="613" spans="1:15">
      <c r="B613" s="104"/>
      <c r="C613" s="104" t="s">
        <v>373</v>
      </c>
      <c r="D613" s="378" t="e" cm="1">
        <f t="array" aca="1" ref="D61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13" s="400" t="s">
        <v>885</v>
      </c>
      <c r="F613" s="104" t="s">
        <v>352</v>
      </c>
      <c r="G613" s="400" t="s">
        <v>883</v>
      </c>
      <c r="H613" s="426" t="s">
        <v>353</v>
      </c>
      <c r="I613" s="435">
        <v>320892794</v>
      </c>
      <c r="J613" s="153" t="s">
        <v>346</v>
      </c>
      <c r="K613" s="384" t="s">
        <v>911</v>
      </c>
      <c r="L613" s="406"/>
      <c r="M613" s="97"/>
      <c r="N613" s="97">
        <v>2026</v>
      </c>
      <c r="O613" s="496"/>
    </row>
    <row r="614" spans="1:15" s="286" customFormat="1">
      <c r="A614" s="441"/>
      <c r="B614" s="104"/>
      <c r="C614" s="104" t="s">
        <v>373</v>
      </c>
      <c r="D614" s="378" t="e" cm="1">
        <f t="array" aca="1" ref="D61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14" s="421"/>
      <c r="F614" s="104" t="s">
        <v>352</v>
      </c>
      <c r="G614" s="400" t="s">
        <v>883</v>
      </c>
      <c r="H614" s="426" t="s">
        <v>348</v>
      </c>
      <c r="I614" s="435">
        <v>78752740</v>
      </c>
      <c r="J614" s="153" t="s">
        <v>346</v>
      </c>
      <c r="K614" s="96" t="s">
        <v>901</v>
      </c>
      <c r="L614" s="99" t="s">
        <v>858</v>
      </c>
      <c r="M614" s="97"/>
      <c r="N614" s="97">
        <v>2026</v>
      </c>
      <c r="O614" s="499"/>
    </row>
    <row r="615" spans="1:15" s="259" customFormat="1">
      <c r="A615" s="442"/>
      <c r="B615" s="104"/>
      <c r="C615" s="104" t="s">
        <v>373</v>
      </c>
      <c r="D615" s="378" t="e" cm="1">
        <f t="array" aca="1" ref="D61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15" s="421"/>
      <c r="F615" s="104" t="s">
        <v>352</v>
      </c>
      <c r="G615" s="400" t="s">
        <v>883</v>
      </c>
      <c r="H615" s="426" t="s">
        <v>351</v>
      </c>
      <c r="I615" s="435">
        <v>78807000</v>
      </c>
      <c r="J615" s="153" t="s">
        <v>346</v>
      </c>
      <c r="K615" s="96" t="s">
        <v>901</v>
      </c>
      <c r="L615" s="99" t="s">
        <v>858</v>
      </c>
      <c r="M615" s="97"/>
      <c r="N615" s="97">
        <v>2026</v>
      </c>
      <c r="O615" s="500"/>
    </row>
    <row r="616" spans="1:15" s="259" customFormat="1">
      <c r="A616" s="442"/>
      <c r="B616" s="104"/>
      <c r="C616" s="104" t="s">
        <v>373</v>
      </c>
      <c r="D616" s="378" t="e" cm="1">
        <f t="array" aca="1" ref="D616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16" s="421"/>
      <c r="F616" s="104" t="s">
        <v>352</v>
      </c>
      <c r="G616" s="400" t="s">
        <v>883</v>
      </c>
      <c r="H616" s="426" t="s">
        <v>353</v>
      </c>
      <c r="I616" s="435">
        <v>78807000</v>
      </c>
      <c r="J616" s="153" t="s">
        <v>346</v>
      </c>
      <c r="K616" s="96" t="s">
        <v>901</v>
      </c>
      <c r="L616" s="99" t="s">
        <v>858</v>
      </c>
      <c r="M616" s="97"/>
      <c r="N616" s="97">
        <v>2026</v>
      </c>
      <c r="O616" s="500"/>
    </row>
    <row r="617" spans="1:15" s="259" customFormat="1">
      <c r="A617" s="442"/>
      <c r="B617" s="104"/>
      <c r="C617" s="104"/>
      <c r="D617" s="422"/>
      <c r="E617" s="400"/>
      <c r="F617" s="104"/>
      <c r="G617" s="400"/>
      <c r="H617" s="426"/>
      <c r="I617" s="435"/>
      <c r="J617" s="153"/>
      <c r="K617" s="96"/>
      <c r="L617" s="99"/>
      <c r="M617" s="97"/>
      <c r="N617" s="97">
        <v>2026</v>
      </c>
      <c r="O617" s="500"/>
    </row>
    <row r="618" spans="1:15">
      <c r="B618" s="465"/>
      <c r="C618" s="466"/>
      <c r="D618" s="467"/>
      <c r="E618" s="468"/>
      <c r="F618" s="465"/>
      <c r="G618" s="468"/>
      <c r="H618" s="469"/>
      <c r="I618" s="470"/>
      <c r="J618" s="471"/>
      <c r="K618" s="472"/>
      <c r="L618" s="473"/>
      <c r="M618" s="474"/>
      <c r="N618" s="475"/>
      <c r="O618" s="496"/>
    </row>
    <row r="619" spans="1:15">
      <c r="B619" s="465"/>
      <c r="C619" s="465" t="s">
        <v>373</v>
      </c>
      <c r="D619" s="506" t="e" cm="1">
        <f t="array" aca="1" ref="D619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19" s="507" t="s">
        <v>885</v>
      </c>
      <c r="F619" s="465" t="s">
        <v>352</v>
      </c>
      <c r="G619" s="468" t="s">
        <v>883</v>
      </c>
      <c r="H619" s="508" t="s">
        <v>351</v>
      </c>
      <c r="I619" s="509">
        <v>3520538</v>
      </c>
      <c r="J619" s="510" t="s">
        <v>346</v>
      </c>
      <c r="K619" s="511" t="s">
        <v>887</v>
      </c>
      <c r="L619" s="473" t="s">
        <v>858</v>
      </c>
      <c r="M619" s="474"/>
      <c r="N619" s="475">
        <v>2026</v>
      </c>
      <c r="O619" s="496"/>
    </row>
    <row r="620" spans="1:15">
      <c r="B620" s="465"/>
      <c r="C620" s="465" t="s">
        <v>373</v>
      </c>
      <c r="D620" s="506" t="e" cm="1">
        <f t="array" aca="1" ref="D620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20" s="507" t="s">
        <v>885</v>
      </c>
      <c r="F620" s="465" t="s">
        <v>352</v>
      </c>
      <c r="G620" s="468" t="s">
        <v>883</v>
      </c>
      <c r="H620" s="508" t="s">
        <v>353</v>
      </c>
      <c r="I620" s="509">
        <v>3520538</v>
      </c>
      <c r="J620" s="510" t="s">
        <v>346</v>
      </c>
      <c r="K620" s="511" t="s">
        <v>887</v>
      </c>
      <c r="L620" s="473" t="s">
        <v>858</v>
      </c>
      <c r="M620" s="474"/>
      <c r="N620" s="475">
        <v>2026</v>
      </c>
      <c r="O620" s="496"/>
    </row>
    <row r="621" spans="1:15">
      <c r="B621" s="465"/>
      <c r="C621" s="104" t="s">
        <v>373</v>
      </c>
      <c r="D621" s="378" t="e" cm="1">
        <f t="array" aca="1" ref="D621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21" s="507" t="s">
        <v>885</v>
      </c>
      <c r="F621" s="465" t="s">
        <v>352</v>
      </c>
      <c r="G621" s="468" t="s">
        <v>883</v>
      </c>
      <c r="H621" s="512" t="s">
        <v>1136</v>
      </c>
      <c r="I621" s="513">
        <v>313296902</v>
      </c>
      <c r="J621" s="510" t="s">
        <v>346</v>
      </c>
      <c r="K621" s="384" t="s">
        <v>911</v>
      </c>
      <c r="L621" s="473" t="s">
        <v>858</v>
      </c>
      <c r="M621" s="474"/>
      <c r="N621" s="475"/>
      <c r="O621" s="496"/>
    </row>
    <row r="622" spans="1:15">
      <c r="B622" s="465"/>
      <c r="C622" s="548" t="s">
        <v>415</v>
      </c>
      <c r="D622" s="549" t="e" cm="1">
        <f t="array" aca="1" ref="D622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22" s="550" t="s">
        <v>885</v>
      </c>
      <c r="F622" s="551" t="s">
        <v>352</v>
      </c>
      <c r="G622" s="552" t="s">
        <v>883</v>
      </c>
      <c r="H622" s="553" t="s">
        <v>1136</v>
      </c>
      <c r="I622" s="554">
        <v>16350000</v>
      </c>
      <c r="J622" s="555" t="s">
        <v>346</v>
      </c>
      <c r="K622" s="556" t="s">
        <v>951</v>
      </c>
      <c r="L622" s="552" t="s">
        <v>858</v>
      </c>
      <c r="M622" s="557"/>
      <c r="N622" s="557"/>
      <c r="O622" s="558"/>
    </row>
    <row r="623" spans="1:15">
      <c r="B623" s="465"/>
      <c r="C623" s="548" t="s">
        <v>415</v>
      </c>
      <c r="D623" s="549" t="e" cm="1">
        <f t="array" aca="1" ref="D623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23" s="550" t="s">
        <v>885</v>
      </c>
      <c r="F623" s="551" t="s">
        <v>352</v>
      </c>
      <c r="G623" s="552" t="s">
        <v>883</v>
      </c>
      <c r="H623" s="553" t="s">
        <v>1137</v>
      </c>
      <c r="I623" s="554">
        <v>16350000</v>
      </c>
      <c r="J623" s="555" t="s">
        <v>346</v>
      </c>
      <c r="K623" s="556" t="s">
        <v>951</v>
      </c>
      <c r="L623" s="552" t="s">
        <v>858</v>
      </c>
      <c r="M623" s="557"/>
      <c r="N623" s="557"/>
      <c r="O623" s="558"/>
    </row>
    <row r="624" spans="1:15">
      <c r="B624" s="465"/>
      <c r="C624" s="465" t="s">
        <v>422</v>
      </c>
      <c r="D624" s="506" t="e" cm="1">
        <f t="array" aca="1" ref="D624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24" s="507" t="s">
        <v>885</v>
      </c>
      <c r="F624" s="465" t="s">
        <v>352</v>
      </c>
      <c r="G624" s="468" t="s">
        <v>883</v>
      </c>
      <c r="H624" s="512" t="s">
        <v>1136</v>
      </c>
      <c r="I624" s="509">
        <v>83286000</v>
      </c>
      <c r="J624" s="510" t="s">
        <v>346</v>
      </c>
      <c r="K624" s="514" t="s">
        <v>896</v>
      </c>
      <c r="L624" s="473" t="s">
        <v>858</v>
      </c>
      <c r="M624" s="474"/>
      <c r="N624" s="475"/>
      <c r="O624" s="496"/>
    </row>
    <row r="625" spans="2:15">
      <c r="B625" s="465"/>
      <c r="C625" s="465" t="s">
        <v>422</v>
      </c>
      <c r="D625" s="506" t="e" cm="1">
        <f t="array" aca="1" ref="D625" ca="1">_xlfn.XLOOKUP(Tabel2[[#This Row],[KODE PROJECT]], _xlfn.VSTACK('KODE PROJECT BARU'!$B$5:$B$98, 'KODE PROJECT BARU'!$C$5:$C$98), _xlfn.VSTACK('KODE PROJECT BARU'!$E$5:$E$98, 'KODE PROJECT BARU'!$E$5:$E$98), "Tidak Ditemukan", 0, 1)</f>
        <v>#NAME?</v>
      </c>
      <c r="E625" s="400" t="s">
        <v>985</v>
      </c>
      <c r="F625" s="465" t="s">
        <v>352</v>
      </c>
      <c r="G625" s="468" t="s">
        <v>883</v>
      </c>
      <c r="H625" s="508" t="s">
        <v>356</v>
      </c>
      <c r="I625" s="513">
        <v>83286000</v>
      </c>
      <c r="J625" s="510" t="s">
        <v>346</v>
      </c>
      <c r="K625" s="514" t="s">
        <v>896</v>
      </c>
      <c r="L625" s="473" t="s">
        <v>858</v>
      </c>
      <c r="M625" s="474"/>
      <c r="N625" s="475">
        <v>2026</v>
      </c>
      <c r="O625" s="496"/>
    </row>
    <row r="626" spans="2:15">
      <c r="B626" s="18"/>
      <c r="C626" s="2"/>
      <c r="D626" s="1"/>
      <c r="F626" s="170"/>
      <c r="G626" s="7"/>
      <c r="H626" s="171"/>
      <c r="I626" s="334"/>
      <c r="J626" s="60"/>
      <c r="K626" s="2"/>
      <c r="L626" s="3"/>
      <c r="M626"/>
    </row>
    <row r="627" spans="2:15">
      <c r="B627" s="18"/>
      <c r="C627" s="2"/>
      <c r="D627" s="1"/>
      <c r="F627" s="170"/>
      <c r="G627" s="7"/>
      <c r="H627" s="171"/>
      <c r="I627" s="334"/>
      <c r="J627" s="60"/>
      <c r="K627" s="2"/>
      <c r="L627" s="3"/>
      <c r="M627"/>
    </row>
    <row r="628" spans="2:15">
      <c r="B628" s="18"/>
      <c r="C628" s="2"/>
      <c r="D628" s="1"/>
      <c r="F628" s="170"/>
      <c r="G628" s="7"/>
      <c r="H628" s="171"/>
      <c r="I628" s="334"/>
      <c r="J628" s="60"/>
      <c r="K628" s="2"/>
      <c r="L628" s="3"/>
      <c r="M628"/>
    </row>
    <row r="629" spans="2:15">
      <c r="B629" s="18"/>
      <c r="C629" s="2"/>
      <c r="D629" s="1"/>
      <c r="E629" s="3"/>
      <c r="F629" s="18"/>
      <c r="G629" s="3"/>
      <c r="H629" s="169"/>
      <c r="I629" s="334"/>
      <c r="J629" s="60"/>
      <c r="K629" s="2"/>
      <c r="L629" s="3"/>
      <c r="M629"/>
    </row>
    <row r="630" spans="2:15">
      <c r="B630" s="18"/>
      <c r="C630" s="2"/>
      <c r="D630" s="1"/>
      <c r="E630" s="3"/>
      <c r="F630" s="18"/>
      <c r="G630" s="3"/>
      <c r="H630" s="169"/>
      <c r="I630" s="334"/>
      <c r="J630" s="60"/>
      <c r="K630" s="2"/>
      <c r="L630" s="3"/>
      <c r="M630"/>
    </row>
    <row r="631" spans="2:15">
      <c r="B631" s="18"/>
      <c r="C631" s="2"/>
      <c r="D631" s="1"/>
      <c r="E631" s="3"/>
      <c r="F631" s="18"/>
      <c r="G631" s="3"/>
      <c r="H631" s="169"/>
      <c r="I631" s="334"/>
      <c r="J631" s="60"/>
      <c r="K631" s="2"/>
      <c r="L631" s="3"/>
      <c r="M631"/>
    </row>
    <row r="632" spans="2:15">
      <c r="B632" s="18"/>
      <c r="C632" s="2"/>
      <c r="D632" s="1"/>
      <c r="E632" s="3"/>
      <c r="F632" s="18"/>
      <c r="G632" s="3"/>
      <c r="H632" s="169"/>
      <c r="I632" s="334"/>
      <c r="J632" s="60"/>
      <c r="K632" s="2"/>
      <c r="L632" s="3"/>
      <c r="M632"/>
    </row>
    <row r="633" spans="2:15">
      <c r="B633" s="18"/>
      <c r="C633" s="2"/>
      <c r="D633" s="1"/>
      <c r="E633" s="3"/>
      <c r="F633" s="18"/>
      <c r="G633" s="3"/>
      <c r="H633" s="169"/>
      <c r="I633" s="334"/>
      <c r="J633" s="60"/>
      <c r="K633" s="2"/>
      <c r="L633" s="3"/>
      <c r="M633"/>
    </row>
    <row r="634" spans="2:15">
      <c r="B634" s="18"/>
      <c r="C634" s="2"/>
      <c r="D634" s="1"/>
      <c r="E634" s="3"/>
      <c r="F634" s="18"/>
      <c r="G634" s="3"/>
      <c r="H634" s="169"/>
      <c r="I634" s="334"/>
      <c r="J634" s="60"/>
      <c r="K634" s="2"/>
      <c r="L634" s="3"/>
      <c r="M634"/>
    </row>
    <row r="635" spans="2:15">
      <c r="B635" s="18"/>
      <c r="C635" s="2"/>
      <c r="D635" s="1"/>
      <c r="E635" s="3"/>
      <c r="F635" s="18"/>
      <c r="G635" s="3"/>
      <c r="H635" s="169"/>
      <c r="I635" s="334"/>
      <c r="J635" s="60"/>
      <c r="K635" s="2"/>
      <c r="L635" s="3"/>
      <c r="M635"/>
    </row>
    <row r="636" spans="2:15">
      <c r="D636" s="373"/>
    </row>
    <row r="637" spans="2:15">
      <c r="D637" s="373"/>
    </row>
    <row r="638" spans="2:15">
      <c r="D638" s="374"/>
    </row>
    <row r="642" spans="11:12">
      <c r="K642"/>
      <c r="L642" s="3"/>
    </row>
  </sheetData>
  <dataConsolidate/>
  <phoneticPr fontId="6" type="noConversion"/>
  <hyperlinks>
    <hyperlink ref="M539" r:id="rId1" xr:uid="{ED00403F-03D6-4BD5-B008-26BF989F8624}"/>
    <hyperlink ref="M538" r:id="rId2" xr:uid="{D2FF22F6-F437-446E-952C-2E6E4D56E605}"/>
    <hyperlink ref="M540" r:id="rId3" xr:uid="{3F05B964-CBD4-40F4-9005-9F9D7155F7AB}"/>
    <hyperlink ref="M579" r:id="rId4" xr:uid="{61E64871-F128-41B8-88F9-FF71CC2A9B47}"/>
    <hyperlink ref="M574" r:id="rId5" xr:uid="{7E8ABA92-CC2D-4102-A270-D2F39205F1FB}"/>
    <hyperlink ref="M570" r:id="rId6" xr:uid="{4A640020-987E-4A94-B64C-E65A7BB4FA21}"/>
    <hyperlink ref="M571" r:id="rId7" xr:uid="{5FCD2060-3B57-4379-AF55-14F865130B1E}"/>
    <hyperlink ref="M572" r:id="rId8" xr:uid="{B9A1EE57-6615-4B0E-87D0-06696233BC98}"/>
    <hyperlink ref="M575" r:id="rId9" xr:uid="{92E5263B-2439-4048-BBBF-FA8464BFF0AD}"/>
    <hyperlink ref="M580" r:id="rId10" xr:uid="{A8680BEB-F24A-456D-A43C-24D4760C628A}"/>
    <hyperlink ref="M573" r:id="rId11" xr:uid="{CC9A9E7E-F896-4A9D-8EA6-915D8E9E2E31}"/>
    <hyperlink ref="M581" r:id="rId12" xr:uid="{47896033-F407-48CC-BF10-45B7AB7C7B3C}"/>
    <hyperlink ref="M308" r:id="rId13" display="https://pgascom-my.sharepoint.com/:b:/g/personal/masyita_mustikas_pgncom_co_id/IQDlngBISm2pQbTfx2kxOEujAdCmoNCR2gMtlsMXmv-NEvs?e=tLGMOM" xr:uid="{BF3D6D31-887E-A242-BD3C-E36ACD64757A}"/>
    <hyperlink ref="M7" r:id="rId14" xr:uid="{B28966EB-1DA2-3449-A108-ABEBC41A918F}"/>
    <hyperlink ref="M257" r:id="rId15" xr:uid="{F03CE1A0-554E-4C00-83E4-5BE7AE40BBF9}"/>
    <hyperlink ref="M258" r:id="rId16" xr:uid="{91A81850-6A50-4031-A763-A0AFD1B51EDA}"/>
    <hyperlink ref="M586" r:id="rId17" xr:uid="{66664B0B-C4AC-468C-8EC2-A3DBA35470FF}"/>
    <hyperlink ref="M590" r:id="rId18" xr:uid="{ABCF6611-0EF4-4BD8-996A-09096A82DF9A}"/>
    <hyperlink ref="M589" r:id="rId19" display="https://pgascom.sharepoint.com/:b:/s/DMO2-PCRM/IQCI2Oyaws0HRZqv7GKA3RqXARubDiZzzZoD14gBu1YkFTI?e=oCCkGy" xr:uid="{7022A368-8E9B-4EC7-88C2-608194316D3F}"/>
    <hyperlink ref="M221" r:id="rId20" display="https://pgascom.sharepoint.com/:b:/s/DMO2-PCRM/IQCI2Oyaws0HRZqv7GKA3RqXARubDiZzzZoD14gBu1YkFTI?e=oCCkGy" xr:uid="{30E584B0-3599-44C4-8FD5-57B3106D5961}"/>
    <hyperlink ref="M213" r:id="rId21" display="https://pgascom.sharepoint.com/:b:/s/DMO2-PCRM/IQCI2Oyaws0HRZqv7GKA3RqXARubDiZzzZoD14gBu1YkFTI?e=oCCkGy" xr:uid="{803208B9-42F3-4D66-BB61-88DE17E7A27B}"/>
    <hyperlink ref="M214" r:id="rId22" display="https://pgascom.sharepoint.com/:b:/s/DMO2-PCRM/IQCI2Oyaws0HRZqv7GKA3RqXARubDiZzzZoD14gBu1YkFTI?e=oCCkGy" xr:uid="{92849F05-B156-4027-8336-30C053BED8D3}"/>
    <hyperlink ref="M390" r:id="rId23" xr:uid="{67297BC5-EDD7-445D-9319-1F48401E6C47}"/>
    <hyperlink ref="M577" r:id="rId24" xr:uid="{F46E36E3-E819-49CD-BC88-A6AF562A55FA}"/>
    <hyperlink ref="M578" r:id="rId25" xr:uid="{515DC3DE-F945-4278-AEC0-47F86FBCE166}"/>
    <hyperlink ref="M576" r:id="rId26" xr:uid="{16D93C14-073F-48D3-992E-929162035965}"/>
    <hyperlink ref="M372" r:id="rId27" xr:uid="{AF082AC9-D646-48A2-B490-13F64942474E}"/>
    <hyperlink ref="M373" r:id="rId28" xr:uid="{02DFA55E-6438-464D-ACBB-8273B188E5E7}"/>
    <hyperlink ref="M374" r:id="rId29" xr:uid="{DF1B2ACD-18AE-456F-B54E-7B0D234E350C}"/>
    <hyperlink ref="M594" r:id="rId30" xr:uid="{7326C12C-6BC5-4EFB-A2A0-FE1A7A6562C0}"/>
    <hyperlink ref="M595" r:id="rId31" xr:uid="{020ECE50-9A9E-4CA7-A67F-A358B4C071A3}"/>
    <hyperlink ref="M602" r:id="rId32" xr:uid="{C87D6F2F-89FF-45A2-95D6-688CF72AD35E}"/>
    <hyperlink ref="M365" r:id="rId33" xr:uid="{A08182D9-AEE5-4FE7-A0C5-E057111D5146}"/>
    <hyperlink ref="M254" r:id="rId34" xr:uid="{FFB0A224-B372-4D98-A197-B61E18A902DF}"/>
    <hyperlink ref="M255" r:id="rId35" xr:uid="{363C383F-3638-4FD9-BA6A-EDDA84E75F0B}"/>
    <hyperlink ref="M259" r:id="rId36" xr:uid="{85DCF00E-D093-4421-A10C-6AF4F6EA99C9}"/>
  </hyperlinks>
  <pageMargins left="0.7" right="0.7" top="0.75" bottom="0.75" header="0.3" footer="0.3"/>
  <pageSetup paperSize="9" orientation="portrait" horizontalDpi="0" verticalDpi="0"/>
  <ignoredErrors>
    <ignoredError sqref="C367" listDataValidation="1"/>
  </ignoredErrors>
  <tableParts count="1">
    <tablePart r:id="rId3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475FF87-2A98-AD4A-ABEB-823EE0BD1AFB}">
          <x14:formula1>
            <xm:f>'KODE PROJECT UPDATE SEP 25'!$C$1048565:$C$1048567</xm:f>
          </x14:formula1>
          <xm:sqref>J368:J369 J570:J581 J610:J620 J7:J363 J583:J589 J380:J509</xm:sqref>
        </x14:dataValidation>
        <x14:dataValidation type="list" allowBlank="1" showInputMessage="1" showErrorMessage="1" xr:uid="{F6B459D2-5F7C-EC49-8A35-92702B42DF82}">
          <x14:formula1>
            <xm:f>'KODE PROJECT UPDATE SEP 25'!$A$1048565:$A$1048570</xm:f>
          </x14:formula1>
          <xm:sqref>F364 F570:F581 F610:F625 F562:F564 F7:F361 F583:F589 F380:F509</xm:sqref>
        </x14:dataValidation>
        <x14:dataValidation type="list" allowBlank="1" showInputMessage="1" showErrorMessage="1" xr:uid="{C3898154-91C5-6940-8D52-BA41692C838A}">
          <x14:formula1>
            <xm:f>'KODE PROJECT UPDATE SEP 25'!$E$3:$E$1048576</xm:f>
          </x14:formula1>
          <xm:sqref>C271 C7 C362:C367</xm:sqref>
        </x14:dataValidation>
        <x14:dataValidation type="list" allowBlank="1" showInputMessage="1" showErrorMessage="1" xr:uid="{1C8D5BF9-60CB-D34D-B46E-FBD75E53D332}">
          <x14:formula1>
            <xm:f>'KODE PROJECT UPDATE SEP 25'!$B$1048565:$B$1048576</xm:f>
          </x14:formula1>
          <xm:sqref>H364:H365 H7:H24 H570:H581 H610:H620 H628 H27:H361 H583:H602 H625 H380:H509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4011-78FC-D941-845A-CC4D5AD40BAF}">
  <dimension ref="B2:V56"/>
  <sheetViews>
    <sheetView workbookViewId="0"/>
  </sheetViews>
  <sheetFormatPr defaultColWidth="11.3984375" defaultRowHeight="13.8"/>
  <cols>
    <col min="1" max="1" width="3.09765625" bestFit="1" customWidth="1"/>
    <col min="2" max="2" width="9.09765625" bestFit="1" customWidth="1"/>
    <col min="3" max="3" width="4.69921875" bestFit="1" customWidth="1"/>
    <col min="5" max="5" width="14.09765625" bestFit="1" customWidth="1"/>
    <col min="6" max="6" width="20.69921875" bestFit="1" customWidth="1"/>
    <col min="7" max="7" width="16.69921875" bestFit="1" customWidth="1"/>
    <col min="8" max="8" width="96.3984375" bestFit="1" customWidth="1"/>
    <col min="9" max="9" width="14.69921875" bestFit="1" customWidth="1"/>
    <col min="10" max="10" width="15.296875" bestFit="1" customWidth="1"/>
    <col min="12" max="12" width="13.8984375" bestFit="1" customWidth="1"/>
    <col min="13" max="13" width="9" bestFit="1" customWidth="1"/>
    <col min="14" max="14" width="8.09765625" bestFit="1" customWidth="1"/>
    <col min="15" max="15" width="15" bestFit="1" customWidth="1"/>
    <col min="16" max="16" width="9.3984375" bestFit="1" customWidth="1"/>
    <col min="17" max="17" width="19" bestFit="1" customWidth="1"/>
    <col min="18" max="18" width="15.8984375" bestFit="1" customWidth="1"/>
    <col min="19" max="19" width="10" bestFit="1" customWidth="1"/>
    <col min="20" max="20" width="41.296875" bestFit="1" customWidth="1"/>
    <col min="21" max="21" width="5.296875" bestFit="1" customWidth="1"/>
    <col min="22" max="22" width="10.296875" bestFit="1" customWidth="1"/>
  </cols>
  <sheetData>
    <row r="2" spans="2:22">
      <c r="B2" s="92" t="s">
        <v>1138</v>
      </c>
      <c r="C2" s="89"/>
      <c r="D2" s="88"/>
      <c r="E2" s="65"/>
      <c r="F2" s="172"/>
      <c r="G2" s="73"/>
      <c r="H2" s="66"/>
      <c r="I2" s="64"/>
      <c r="J2" s="64"/>
      <c r="K2" s="64"/>
      <c r="L2" s="67"/>
      <c r="M2" s="67"/>
      <c r="N2" s="67"/>
      <c r="O2" s="68"/>
      <c r="P2" s="69"/>
      <c r="Q2" s="27"/>
      <c r="R2" s="68"/>
      <c r="S2" s="362"/>
      <c r="T2" s="70"/>
      <c r="U2" s="71"/>
      <c r="V2" s="63"/>
    </row>
    <row r="3" spans="2:22">
      <c r="B3" s="282" t="s">
        <v>489</v>
      </c>
      <c r="C3" s="282" t="s">
        <v>1139</v>
      </c>
      <c r="D3" s="282" t="s">
        <v>1140</v>
      </c>
      <c r="E3" s="282" t="s">
        <v>1141</v>
      </c>
      <c r="F3" s="282" t="s">
        <v>490</v>
      </c>
      <c r="G3" s="282" t="s">
        <v>1142</v>
      </c>
      <c r="H3" s="282" t="s">
        <v>491</v>
      </c>
      <c r="I3" s="282" t="s">
        <v>1143</v>
      </c>
      <c r="J3" s="282" t="s">
        <v>1144</v>
      </c>
      <c r="K3" s="282"/>
      <c r="L3" s="283" t="s">
        <v>1145</v>
      </c>
      <c r="M3" s="283" t="s">
        <v>1146</v>
      </c>
      <c r="N3" s="283" t="s">
        <v>1147</v>
      </c>
      <c r="O3" s="284" t="s">
        <v>1148</v>
      </c>
      <c r="P3" s="285" t="s">
        <v>1149</v>
      </c>
      <c r="Q3" s="327" t="s">
        <v>1150</v>
      </c>
      <c r="R3" s="284" t="s">
        <v>1151</v>
      </c>
      <c r="S3" s="284" t="s">
        <v>1152</v>
      </c>
      <c r="T3" s="282" t="s">
        <v>497</v>
      </c>
      <c r="U3" s="282" t="s">
        <v>496</v>
      </c>
      <c r="V3" s="282" t="s">
        <v>783</v>
      </c>
    </row>
    <row r="4" spans="2:22">
      <c r="B4" s="270"/>
      <c r="C4" s="270" t="s">
        <v>842</v>
      </c>
      <c r="D4" s="270" t="str">
        <f ca="1">IF(M4&gt;TODAY(),"FUTURE",IF(N4&gt;TODAY(),"ON GOING","CLOSED"))</f>
        <v>ON GOING</v>
      </c>
      <c r="E4" s="270"/>
      <c r="F4" s="271" t="s">
        <v>1153</v>
      </c>
      <c r="G4" s="272" t="s">
        <v>860</v>
      </c>
      <c r="H4" s="269" t="s">
        <v>70</v>
      </c>
      <c r="I4" s="269" t="s">
        <v>1154</v>
      </c>
      <c r="J4" s="269" t="s">
        <v>1155</v>
      </c>
      <c r="K4" s="269"/>
      <c r="L4" s="273">
        <v>45196</v>
      </c>
      <c r="M4" s="273">
        <v>45200</v>
      </c>
      <c r="N4" s="273">
        <v>46752</v>
      </c>
      <c r="O4" s="274">
        <v>3981371124</v>
      </c>
      <c r="P4" s="275" t="s">
        <v>842</v>
      </c>
      <c r="Q4" s="274"/>
      <c r="R4" s="274"/>
      <c r="S4" s="363"/>
      <c r="T4" s="269" t="s">
        <v>1156</v>
      </c>
      <c r="U4" s="270" t="s">
        <v>842</v>
      </c>
      <c r="V4" s="34"/>
    </row>
    <row r="5" spans="2:22" ht="14.4">
      <c r="B5" s="59"/>
      <c r="C5" s="59"/>
      <c r="D5" s="59"/>
      <c r="E5" s="62"/>
      <c r="F5" s="83"/>
      <c r="G5" s="83"/>
      <c r="H5" s="263" t="s">
        <v>1157</v>
      </c>
      <c r="I5" s="262"/>
      <c r="J5" s="9"/>
      <c r="K5" s="9"/>
      <c r="L5" s="278"/>
      <c r="M5" s="278"/>
      <c r="N5" s="278"/>
      <c r="O5" s="279"/>
      <c r="P5" s="280"/>
      <c r="Q5" s="279"/>
      <c r="R5" s="279"/>
      <c r="S5" s="364"/>
      <c r="T5" s="9"/>
      <c r="U5" s="62"/>
      <c r="V5" s="10"/>
    </row>
    <row r="6" spans="2:22" ht="14.4">
      <c r="B6" s="59"/>
      <c r="C6" s="59"/>
      <c r="D6" s="59"/>
      <c r="E6" s="62"/>
      <c r="F6" s="83"/>
      <c r="G6" s="83"/>
      <c r="H6" s="263" t="s">
        <v>1158</v>
      </c>
      <c r="I6" s="262"/>
      <c r="J6" s="9"/>
      <c r="K6" s="9"/>
      <c r="L6" s="278"/>
      <c r="M6" s="278"/>
      <c r="N6" s="278"/>
      <c r="O6" s="279"/>
      <c r="P6" s="280"/>
      <c r="Q6" s="279"/>
      <c r="R6" s="279"/>
      <c r="S6" s="364"/>
      <c r="T6" s="9"/>
      <c r="U6" s="62"/>
      <c r="V6" s="10"/>
    </row>
    <row r="7" spans="2:22" ht="14.4">
      <c r="B7" s="59"/>
      <c r="C7" s="59"/>
      <c r="D7" s="59"/>
      <c r="E7" s="62"/>
      <c r="F7" s="83"/>
      <c r="G7" s="83"/>
      <c r="H7" s="263" t="s">
        <v>466</v>
      </c>
      <c r="I7" s="262"/>
      <c r="J7" s="9"/>
      <c r="K7" s="9"/>
      <c r="L7" s="278"/>
      <c r="M7" s="278"/>
      <c r="N7" s="278"/>
      <c r="O7" s="279"/>
      <c r="P7" s="280"/>
      <c r="Q7" s="279"/>
      <c r="R7" s="279"/>
      <c r="S7" s="364"/>
      <c r="T7" s="9"/>
      <c r="U7" s="62"/>
      <c r="V7" s="10"/>
    </row>
    <row r="8" spans="2:22" ht="14.4">
      <c r="B8" s="59"/>
      <c r="C8" s="59"/>
      <c r="D8" s="59"/>
      <c r="E8" s="62"/>
      <c r="F8" s="83"/>
      <c r="G8" s="83"/>
      <c r="H8" s="263" t="s">
        <v>1159</v>
      </c>
      <c r="I8" s="262"/>
      <c r="J8" s="9"/>
      <c r="K8" s="9"/>
      <c r="L8" s="278"/>
      <c r="M8" s="278"/>
      <c r="N8" s="278"/>
      <c r="O8" s="279"/>
      <c r="P8" s="280"/>
      <c r="Q8" s="279"/>
      <c r="R8" s="279"/>
      <c r="S8" s="364"/>
      <c r="T8" s="9"/>
      <c r="U8" s="62"/>
      <c r="V8" s="10"/>
    </row>
    <row r="9" spans="2:22" ht="14.4">
      <c r="B9" s="59"/>
      <c r="C9" s="59"/>
      <c r="D9" s="59"/>
      <c r="E9" s="62"/>
      <c r="F9" s="83"/>
      <c r="G9" s="83"/>
      <c r="H9" s="263" t="s">
        <v>1160</v>
      </c>
      <c r="I9" s="262"/>
      <c r="J9" s="9"/>
      <c r="K9" s="9"/>
      <c r="L9" s="278"/>
      <c r="M9" s="278"/>
      <c r="N9" s="278"/>
      <c r="O9" s="279"/>
      <c r="P9" s="280"/>
      <c r="Q9" s="279"/>
      <c r="R9" s="279"/>
      <c r="S9" s="364"/>
      <c r="T9" s="9"/>
      <c r="U9" s="62"/>
      <c r="V9" s="10"/>
    </row>
    <row r="10" spans="2:22" ht="14.4">
      <c r="B10" s="59"/>
      <c r="C10" s="59"/>
      <c r="D10" s="59"/>
      <c r="E10" s="62"/>
      <c r="F10" s="83"/>
      <c r="G10" s="83"/>
      <c r="H10" s="263" t="s">
        <v>1161</v>
      </c>
      <c r="I10" s="262"/>
      <c r="J10" s="9"/>
      <c r="K10" s="9"/>
      <c r="L10" s="278"/>
      <c r="M10" s="278"/>
      <c r="N10" s="278"/>
      <c r="O10" s="279"/>
      <c r="P10" s="280"/>
      <c r="Q10" s="279"/>
      <c r="R10" s="279"/>
      <c r="S10" s="364"/>
      <c r="T10" s="9"/>
      <c r="U10" s="62"/>
      <c r="V10" s="10"/>
    </row>
    <row r="11" spans="2:22" ht="14.4">
      <c r="B11" s="59"/>
      <c r="C11" s="59"/>
      <c r="D11" s="59"/>
      <c r="E11" s="62"/>
      <c r="F11" s="83"/>
      <c r="G11" s="83"/>
      <c r="H11" s="263" t="s">
        <v>1162</v>
      </c>
      <c r="I11" s="262"/>
      <c r="J11" s="9"/>
      <c r="K11" s="9"/>
      <c r="L11" s="278"/>
      <c r="M11" s="278"/>
      <c r="N11" s="278"/>
      <c r="O11" s="279"/>
      <c r="P11" s="280"/>
      <c r="Q11" s="279"/>
      <c r="R11" s="279"/>
      <c r="S11" s="364"/>
      <c r="T11" s="9"/>
      <c r="U11" s="62"/>
      <c r="V11" s="10"/>
    </row>
    <row r="12" spans="2:22">
      <c r="B12" s="231"/>
      <c r="C12" s="231"/>
      <c r="D12" s="59"/>
      <c r="E12" s="62"/>
      <c r="F12" s="83"/>
      <c r="G12" s="83"/>
      <c r="H12" s="263" t="s">
        <v>1163</v>
      </c>
      <c r="I12" s="10"/>
      <c r="J12" s="9"/>
      <c r="K12" s="9"/>
      <c r="L12" s="278"/>
      <c r="M12" s="278"/>
      <c r="N12" s="278"/>
      <c r="O12" s="279"/>
      <c r="P12" s="280"/>
      <c r="Q12" s="279"/>
      <c r="R12" s="279"/>
      <c r="S12" s="364"/>
      <c r="T12" s="9"/>
      <c r="U12" s="62"/>
      <c r="V12" s="10"/>
    </row>
    <row r="13" spans="2:22" ht="14.4">
      <c r="B13" s="59"/>
      <c r="C13" s="59"/>
      <c r="D13" s="59"/>
      <c r="E13" s="62"/>
      <c r="F13" s="83"/>
      <c r="G13" s="83"/>
      <c r="H13" s="263" t="s">
        <v>456</v>
      </c>
      <c r="I13" s="262"/>
      <c r="J13" s="9"/>
      <c r="K13" s="9"/>
      <c r="L13" s="278"/>
      <c r="M13" s="278"/>
      <c r="N13" s="278"/>
      <c r="O13" s="279"/>
      <c r="P13" s="280"/>
      <c r="Q13" s="279"/>
      <c r="R13" s="279"/>
      <c r="S13" s="364"/>
      <c r="T13" s="9"/>
      <c r="U13" s="62"/>
      <c r="V13" s="10"/>
    </row>
    <row r="14" spans="2:22" ht="14.4">
      <c r="B14" s="59"/>
      <c r="C14" s="59"/>
      <c r="D14" s="59"/>
      <c r="E14" s="62"/>
      <c r="F14" s="83"/>
      <c r="G14" s="83"/>
      <c r="H14" s="263" t="s">
        <v>469</v>
      </c>
      <c r="I14" s="262"/>
      <c r="J14" s="9"/>
      <c r="K14" s="9"/>
      <c r="L14" s="278"/>
      <c r="M14" s="278"/>
      <c r="N14" s="278"/>
      <c r="O14" s="279"/>
      <c r="P14" s="280"/>
      <c r="Q14" s="279"/>
      <c r="R14" s="281"/>
      <c r="S14" s="364"/>
      <c r="T14" s="9"/>
      <c r="U14" s="62"/>
      <c r="V14" s="10"/>
    </row>
    <row r="15" spans="2:22" ht="14.4">
      <c r="B15" s="59"/>
      <c r="C15" s="59"/>
      <c r="D15" s="59"/>
      <c r="E15" s="62"/>
      <c r="F15" s="83"/>
      <c r="G15" s="83"/>
      <c r="H15" s="264" t="s">
        <v>1164</v>
      </c>
      <c r="I15" s="262"/>
      <c r="J15" s="9"/>
      <c r="K15" s="9"/>
      <c r="L15" s="278"/>
      <c r="M15" s="278"/>
      <c r="N15" s="278"/>
      <c r="O15" s="279"/>
      <c r="P15" s="280"/>
      <c r="Q15" s="279"/>
      <c r="R15" s="279"/>
      <c r="S15" s="364"/>
      <c r="T15" s="9"/>
      <c r="U15" s="62"/>
      <c r="V15" s="10"/>
    </row>
    <row r="16" spans="2:22" ht="14.4">
      <c r="B16" s="59"/>
      <c r="C16" s="59"/>
      <c r="D16" s="59"/>
      <c r="E16" s="62"/>
      <c r="F16" s="83"/>
      <c r="G16" s="83"/>
      <c r="H16" s="264" t="s">
        <v>1165</v>
      </c>
      <c r="I16" s="262"/>
      <c r="J16" s="9"/>
      <c r="K16" s="9"/>
      <c r="L16" s="278"/>
      <c r="M16" s="278"/>
      <c r="N16" s="278"/>
      <c r="O16" s="279"/>
      <c r="P16" s="280"/>
      <c r="Q16" s="279"/>
      <c r="R16" s="279"/>
      <c r="S16" s="364"/>
      <c r="T16" s="9"/>
      <c r="U16" s="62"/>
      <c r="V16" s="10"/>
    </row>
    <row r="17" spans="2:22" ht="14.4">
      <c r="B17" s="59"/>
      <c r="C17" s="59"/>
      <c r="D17" s="59"/>
      <c r="E17" s="62"/>
      <c r="F17" s="83"/>
      <c r="G17" s="83"/>
      <c r="H17" s="264" t="s">
        <v>1166</v>
      </c>
      <c r="I17" s="262"/>
      <c r="J17" s="9"/>
      <c r="K17" s="9"/>
      <c r="L17" s="278"/>
      <c r="M17" s="278"/>
      <c r="N17" s="278"/>
      <c r="O17" s="279"/>
      <c r="P17" s="280"/>
      <c r="Q17" s="279"/>
      <c r="R17" s="279"/>
      <c r="S17" s="364"/>
      <c r="T17" s="9"/>
      <c r="U17" s="62"/>
      <c r="V17" s="10"/>
    </row>
    <row r="18" spans="2:22" ht="14.4">
      <c r="B18" s="59"/>
      <c r="C18" s="59"/>
      <c r="D18" s="59"/>
      <c r="E18" s="62"/>
      <c r="F18" s="83"/>
      <c r="G18" s="83"/>
      <c r="H18" s="264" t="s">
        <v>1167</v>
      </c>
      <c r="I18" s="262"/>
      <c r="J18" s="9"/>
      <c r="K18" s="9"/>
      <c r="L18" s="278"/>
      <c r="M18" s="278"/>
      <c r="N18" s="278"/>
      <c r="O18" s="279"/>
      <c r="P18" s="280"/>
      <c r="Q18" s="279"/>
      <c r="R18" s="279"/>
      <c r="S18" s="364"/>
      <c r="T18" s="9"/>
      <c r="U18" s="62"/>
      <c r="V18" s="10"/>
    </row>
    <row r="19" spans="2:22" ht="14.4">
      <c r="B19" s="59"/>
      <c r="C19" s="59"/>
      <c r="D19" s="59"/>
      <c r="E19" s="62"/>
      <c r="F19" s="83"/>
      <c r="G19" s="83"/>
      <c r="H19" s="264" t="s">
        <v>1168</v>
      </c>
      <c r="I19" s="262"/>
      <c r="J19" s="9"/>
      <c r="K19" s="9"/>
      <c r="L19" s="278"/>
      <c r="M19" s="278"/>
      <c r="N19" s="278"/>
      <c r="O19" s="279"/>
      <c r="P19" s="280"/>
      <c r="Q19" s="279"/>
      <c r="R19" s="279"/>
      <c r="S19" s="364"/>
      <c r="T19" s="9"/>
      <c r="U19" s="62"/>
      <c r="V19" s="10"/>
    </row>
    <row r="20" spans="2:22" ht="14.4">
      <c r="B20" s="59"/>
      <c r="C20" s="59"/>
      <c r="D20" s="59"/>
      <c r="E20" s="62"/>
      <c r="F20" s="83"/>
      <c r="G20" s="83"/>
      <c r="H20" s="264" t="s">
        <v>1169</v>
      </c>
      <c r="I20" s="262"/>
      <c r="J20" s="9"/>
      <c r="K20" s="9"/>
      <c r="L20" s="278"/>
      <c r="M20" s="278"/>
      <c r="N20" s="278"/>
      <c r="O20" s="279"/>
      <c r="P20" s="280"/>
      <c r="Q20" s="279"/>
      <c r="R20" s="279"/>
      <c r="S20" s="364"/>
      <c r="T20" s="9"/>
      <c r="U20" s="62"/>
      <c r="V20" s="10"/>
    </row>
    <row r="21" spans="2:22" ht="14.4">
      <c r="B21" s="59"/>
      <c r="C21" s="59"/>
      <c r="D21" s="59"/>
      <c r="E21" s="62"/>
      <c r="F21" s="83"/>
      <c r="G21" s="83"/>
      <c r="H21" s="277" t="s">
        <v>1170</v>
      </c>
      <c r="I21" s="262"/>
      <c r="J21" s="9"/>
      <c r="K21" s="9"/>
      <c r="L21" s="278"/>
      <c r="M21" s="278"/>
      <c r="N21" s="278"/>
      <c r="O21" s="279"/>
      <c r="P21" s="280"/>
      <c r="Q21" s="279"/>
      <c r="R21" s="279"/>
      <c r="S21" s="364"/>
      <c r="T21" s="9"/>
      <c r="U21" s="62"/>
      <c r="V21" s="10"/>
    </row>
    <row r="22" spans="2:22" ht="14.4">
      <c r="B22" s="59"/>
      <c r="C22" s="59"/>
      <c r="D22" s="59"/>
      <c r="E22" s="62"/>
      <c r="F22" s="83"/>
      <c r="G22" s="83"/>
      <c r="H22" s="264" t="s">
        <v>1171</v>
      </c>
      <c r="I22" s="262"/>
      <c r="J22" s="9"/>
      <c r="K22" s="9"/>
      <c r="L22" s="278"/>
      <c r="M22" s="278"/>
      <c r="N22" s="278"/>
      <c r="O22" s="279"/>
      <c r="P22" s="280"/>
      <c r="Q22" s="279"/>
      <c r="R22" s="279"/>
      <c r="S22" s="364"/>
      <c r="T22" s="9"/>
      <c r="U22" s="62"/>
      <c r="V22" s="10"/>
    </row>
    <row r="23" spans="2:22">
      <c r="B23" s="59"/>
      <c r="C23" s="59"/>
      <c r="D23" s="59"/>
      <c r="E23" s="62"/>
      <c r="F23" s="83"/>
      <c r="G23" s="83"/>
      <c r="H23" s="264" t="s">
        <v>1172</v>
      </c>
      <c r="I23" s="10"/>
      <c r="J23" s="9"/>
      <c r="K23" s="9"/>
      <c r="L23" s="278"/>
      <c r="M23" s="278"/>
      <c r="N23" s="278"/>
      <c r="O23" s="279"/>
      <c r="P23" s="280"/>
      <c r="Q23" s="279"/>
      <c r="R23" s="279"/>
      <c r="S23" s="364"/>
      <c r="T23" s="9"/>
      <c r="U23" s="62"/>
      <c r="V23" s="10"/>
    </row>
    <row r="24" spans="2:22" ht="14.4">
      <c r="B24" s="59"/>
      <c r="C24" s="59"/>
      <c r="D24" s="59"/>
      <c r="E24" s="62"/>
      <c r="F24" s="83"/>
      <c r="G24" s="83"/>
      <c r="H24" s="264" t="s">
        <v>1173</v>
      </c>
      <c r="I24" s="262"/>
      <c r="J24" s="9"/>
      <c r="K24" s="9"/>
      <c r="L24" s="278"/>
      <c r="M24" s="278"/>
      <c r="N24" s="278"/>
      <c r="O24" s="279"/>
      <c r="P24" s="280"/>
      <c r="Q24" s="279"/>
      <c r="R24" s="279"/>
      <c r="S24" s="364"/>
      <c r="T24" s="9"/>
      <c r="U24" s="62"/>
      <c r="V24" s="10"/>
    </row>
    <row r="25" spans="2:22" ht="14.4">
      <c r="B25" s="59"/>
      <c r="C25" s="59"/>
      <c r="D25" s="59"/>
      <c r="E25" s="62"/>
      <c r="F25" s="83"/>
      <c r="G25" s="83"/>
      <c r="H25" s="264" t="s">
        <v>1174</v>
      </c>
      <c r="I25" s="262"/>
      <c r="J25" s="9"/>
      <c r="K25" s="9"/>
      <c r="L25" s="278"/>
      <c r="M25" s="278"/>
      <c r="N25" s="278"/>
      <c r="O25" s="279"/>
      <c r="P25" s="280"/>
      <c r="Q25" s="279"/>
      <c r="R25" s="279"/>
      <c r="S25" s="364"/>
      <c r="T25" s="9"/>
      <c r="U25" s="62"/>
      <c r="V25" s="10"/>
    </row>
    <row r="26" spans="2:22" ht="14.4">
      <c r="B26" s="59"/>
      <c r="C26" s="59"/>
      <c r="D26" s="59"/>
      <c r="E26" s="62"/>
      <c r="F26" s="83"/>
      <c r="G26" s="83"/>
      <c r="H26" s="265" t="s">
        <v>1175</v>
      </c>
      <c r="I26" s="262"/>
      <c r="J26" s="9"/>
      <c r="K26" s="9"/>
      <c r="L26" s="278"/>
      <c r="M26" s="278"/>
      <c r="N26" s="278"/>
      <c r="O26" s="279"/>
      <c r="P26" s="280"/>
      <c r="Q26" s="279"/>
      <c r="R26" s="279"/>
      <c r="S26" s="364"/>
      <c r="T26" s="9"/>
      <c r="U26" s="62"/>
      <c r="V26" s="10"/>
    </row>
    <row r="27" spans="2:22" ht="14.4">
      <c r="B27" s="59"/>
      <c r="C27" s="59"/>
      <c r="D27" s="59"/>
      <c r="E27" s="62"/>
      <c r="F27" s="83"/>
      <c r="G27" s="83"/>
      <c r="H27" s="264" t="s">
        <v>1176</v>
      </c>
      <c r="I27" s="262"/>
      <c r="J27" s="9"/>
      <c r="K27" s="9"/>
      <c r="L27" s="278"/>
      <c r="M27" s="278"/>
      <c r="N27" s="278"/>
      <c r="O27" s="279"/>
      <c r="P27" s="280"/>
      <c r="Q27" s="279"/>
      <c r="R27" s="279"/>
      <c r="S27" s="364"/>
      <c r="T27" s="9"/>
      <c r="U27" s="62"/>
      <c r="V27" s="10"/>
    </row>
    <row r="28" spans="2:22" ht="14.4">
      <c r="B28" s="59"/>
      <c r="C28" s="59"/>
      <c r="D28" s="59"/>
      <c r="E28" s="62"/>
      <c r="F28" s="83"/>
      <c r="G28" s="83"/>
      <c r="H28" s="264" t="s">
        <v>1177</v>
      </c>
      <c r="I28" s="262"/>
      <c r="J28" s="9"/>
      <c r="K28" s="9"/>
      <c r="L28" s="278"/>
      <c r="M28" s="278"/>
      <c r="N28" s="278"/>
      <c r="O28" s="279"/>
      <c r="P28" s="280"/>
      <c r="Q28" s="279"/>
      <c r="R28" s="279"/>
      <c r="S28" s="364"/>
      <c r="T28" s="9"/>
      <c r="U28" s="62"/>
      <c r="V28" s="10"/>
    </row>
    <row r="29" spans="2:22" ht="14.4">
      <c r="B29" s="59"/>
      <c r="C29" s="59"/>
      <c r="D29" s="59"/>
      <c r="E29" s="62"/>
      <c r="F29" s="83"/>
      <c r="G29" s="83"/>
      <c r="H29" s="264" t="s">
        <v>1178</v>
      </c>
      <c r="I29" s="262"/>
      <c r="J29" s="9"/>
      <c r="K29" s="9"/>
      <c r="L29" s="278"/>
      <c r="M29" s="278"/>
      <c r="N29" s="278"/>
      <c r="O29" s="279"/>
      <c r="P29" s="280"/>
      <c r="Q29" s="279"/>
      <c r="R29" s="279"/>
      <c r="S29" s="364"/>
      <c r="T29" s="9"/>
      <c r="U29" s="62"/>
      <c r="V29" s="10"/>
    </row>
    <row r="30" spans="2:22" ht="14.4">
      <c r="B30" s="59"/>
      <c r="C30" s="59"/>
      <c r="D30" s="59"/>
      <c r="E30" s="62"/>
      <c r="F30" s="83"/>
      <c r="G30" s="83"/>
      <c r="H30" s="264" t="s">
        <v>1179</v>
      </c>
      <c r="I30" s="262"/>
      <c r="J30" s="9"/>
      <c r="K30" s="9"/>
      <c r="L30" s="278"/>
      <c r="M30" s="278"/>
      <c r="N30" s="278"/>
      <c r="O30" s="279"/>
      <c r="P30" s="280"/>
      <c r="Q30" s="279"/>
      <c r="R30" s="279"/>
      <c r="S30" s="364"/>
      <c r="T30" s="9"/>
      <c r="U30" s="62"/>
      <c r="V30" s="10"/>
    </row>
    <row r="31" spans="2:22" ht="14.4">
      <c r="B31" s="59"/>
      <c r="C31" s="59"/>
      <c r="D31" s="59"/>
      <c r="E31" s="62"/>
      <c r="F31" s="83"/>
      <c r="G31" s="83"/>
      <c r="H31" s="266" t="s">
        <v>1180</v>
      </c>
      <c r="I31" s="262"/>
      <c r="J31" s="9"/>
      <c r="K31" s="9"/>
      <c r="L31" s="278"/>
      <c r="M31" s="278"/>
      <c r="N31" s="278"/>
      <c r="O31" s="279"/>
      <c r="P31" s="280"/>
      <c r="Q31" s="279"/>
      <c r="R31" s="279"/>
      <c r="S31" s="364"/>
      <c r="T31" s="9"/>
      <c r="U31" s="62"/>
      <c r="V31" s="10"/>
    </row>
    <row r="32" spans="2:22" ht="14.4">
      <c r="B32" s="59"/>
      <c r="C32" s="59"/>
      <c r="D32" s="59"/>
      <c r="E32" s="62"/>
      <c r="F32" s="83"/>
      <c r="G32" s="83"/>
      <c r="H32" s="266" t="s">
        <v>1181</v>
      </c>
      <c r="I32" s="262"/>
      <c r="J32" s="9"/>
      <c r="K32" s="9"/>
      <c r="L32" s="278"/>
      <c r="M32" s="278"/>
      <c r="N32" s="278"/>
      <c r="O32" s="279"/>
      <c r="P32" s="280"/>
      <c r="Q32" s="279"/>
      <c r="R32" s="279"/>
      <c r="S32" s="364"/>
      <c r="T32" s="9"/>
      <c r="U32" s="62"/>
      <c r="V32" s="10"/>
    </row>
    <row r="33" spans="2:22" ht="14.4">
      <c r="B33" s="59"/>
      <c r="C33" s="59"/>
      <c r="D33" s="59"/>
      <c r="E33" s="62"/>
      <c r="F33" s="83"/>
      <c r="G33" s="83"/>
      <c r="H33" s="264" t="s">
        <v>1182</v>
      </c>
      <c r="I33" s="262"/>
      <c r="J33" s="9"/>
      <c r="K33" s="9"/>
      <c r="L33" s="278"/>
      <c r="M33" s="278"/>
      <c r="N33" s="278"/>
      <c r="O33" s="279"/>
      <c r="P33" s="280"/>
      <c r="Q33" s="279"/>
      <c r="R33" s="279"/>
      <c r="S33" s="364"/>
      <c r="T33" s="9"/>
      <c r="U33" s="62"/>
      <c r="V33" s="10"/>
    </row>
    <row r="34" spans="2:22" ht="14.4">
      <c r="B34" s="59"/>
      <c r="C34" s="59"/>
      <c r="D34" s="59"/>
      <c r="E34" s="62"/>
      <c r="F34" s="83"/>
      <c r="G34" s="83"/>
      <c r="H34" s="264" t="s">
        <v>1183</v>
      </c>
      <c r="I34" s="262"/>
      <c r="J34" s="9"/>
      <c r="K34" s="9"/>
      <c r="L34" s="278"/>
      <c r="M34" s="278"/>
      <c r="N34" s="278"/>
      <c r="O34" s="279"/>
      <c r="P34" s="280"/>
      <c r="Q34" s="279"/>
      <c r="R34" s="279"/>
      <c r="S34" s="364"/>
      <c r="T34" s="9"/>
      <c r="U34" s="62"/>
      <c r="V34" s="10"/>
    </row>
    <row r="35" spans="2:22">
      <c r="B35" s="59"/>
      <c r="C35" s="59"/>
      <c r="D35" s="59"/>
      <c r="E35" s="62"/>
      <c r="F35" s="83"/>
      <c r="G35" s="83"/>
      <c r="H35" s="264" t="s">
        <v>1184</v>
      </c>
      <c r="I35" s="10"/>
      <c r="J35" s="9"/>
      <c r="K35" s="9"/>
      <c r="L35" s="278"/>
      <c r="M35" s="278"/>
      <c r="N35" s="278"/>
      <c r="O35" s="279"/>
      <c r="P35" s="280"/>
      <c r="Q35" s="279"/>
      <c r="R35" s="279"/>
      <c r="S35" s="364"/>
      <c r="T35" s="9"/>
      <c r="U35" s="62"/>
      <c r="V35" s="10"/>
    </row>
    <row r="36" spans="2:22" ht="14.4">
      <c r="B36" s="59"/>
      <c r="C36" s="59"/>
      <c r="D36" s="59"/>
      <c r="E36" s="62"/>
      <c r="F36" s="83"/>
      <c r="G36" s="83"/>
      <c r="H36" s="277" t="s">
        <v>1185</v>
      </c>
      <c r="I36" s="262"/>
      <c r="J36" s="9"/>
      <c r="K36" s="9"/>
      <c r="L36" s="278"/>
      <c r="M36" s="278"/>
      <c r="N36" s="278"/>
      <c r="O36" s="279"/>
      <c r="P36" s="280"/>
      <c r="Q36" s="279"/>
      <c r="R36" s="279"/>
      <c r="S36" s="364"/>
      <c r="T36" s="9"/>
      <c r="U36" s="62"/>
      <c r="V36" s="10"/>
    </row>
    <row r="37" spans="2:22" ht="14.4">
      <c r="B37" s="59"/>
      <c r="C37" s="59"/>
      <c r="D37" s="59"/>
      <c r="E37" s="62"/>
      <c r="F37" s="83"/>
      <c r="G37" s="83"/>
      <c r="H37" s="266" t="s">
        <v>1186</v>
      </c>
      <c r="I37" s="262"/>
      <c r="J37" s="9"/>
      <c r="K37" s="9"/>
      <c r="L37" s="278"/>
      <c r="M37" s="278"/>
      <c r="N37" s="278"/>
      <c r="O37" s="279"/>
      <c r="P37" s="280"/>
      <c r="Q37" s="279"/>
      <c r="R37" s="279"/>
      <c r="S37" s="364"/>
      <c r="T37" s="9"/>
      <c r="U37" s="62"/>
      <c r="V37" s="10"/>
    </row>
    <row r="38" spans="2:22" ht="14.4">
      <c r="B38" s="59"/>
      <c r="C38" s="59"/>
      <c r="D38" s="59"/>
      <c r="E38" s="62"/>
      <c r="F38" s="83"/>
      <c r="G38" s="83"/>
      <c r="H38" s="267" t="s">
        <v>1187</v>
      </c>
      <c r="I38" s="262"/>
      <c r="J38" s="9"/>
      <c r="K38" s="9"/>
      <c r="L38" s="278"/>
      <c r="M38" s="278"/>
      <c r="N38" s="278"/>
      <c r="O38" s="279"/>
      <c r="P38" s="280"/>
      <c r="Q38" s="279"/>
      <c r="R38" s="279"/>
      <c r="S38" s="364"/>
      <c r="T38" s="9"/>
      <c r="U38" s="62"/>
      <c r="V38" s="10"/>
    </row>
    <row r="39" spans="2:22" ht="14.4">
      <c r="B39" s="59"/>
      <c r="C39" s="59"/>
      <c r="D39" s="59"/>
      <c r="E39" s="62"/>
      <c r="F39" s="83"/>
      <c r="G39" s="83"/>
      <c r="H39" s="266" t="s">
        <v>1188</v>
      </c>
      <c r="I39" s="262"/>
      <c r="J39" s="9"/>
      <c r="K39" s="9"/>
      <c r="L39" s="278"/>
      <c r="M39" s="278"/>
      <c r="N39" s="278"/>
      <c r="O39" s="279"/>
      <c r="P39" s="280"/>
      <c r="Q39" s="279"/>
      <c r="R39" s="279"/>
      <c r="S39" s="364"/>
      <c r="T39" s="9"/>
      <c r="U39" s="62"/>
      <c r="V39" s="10"/>
    </row>
    <row r="40" spans="2:22" ht="14.4">
      <c r="B40" s="59"/>
      <c r="C40" s="59"/>
      <c r="D40" s="59"/>
      <c r="E40" s="62"/>
      <c r="F40" s="83"/>
      <c r="G40" s="83"/>
      <c r="H40" s="266" t="s">
        <v>1189</v>
      </c>
      <c r="I40" s="262"/>
      <c r="J40" s="9"/>
      <c r="K40" s="9"/>
      <c r="L40" s="278"/>
      <c r="M40" s="278"/>
      <c r="N40" s="278"/>
      <c r="O40" s="279"/>
      <c r="P40" s="280"/>
      <c r="Q40" s="279"/>
      <c r="R40" s="279"/>
      <c r="S40" s="364"/>
      <c r="T40" s="9"/>
      <c r="U40" s="62"/>
      <c r="V40" s="10"/>
    </row>
    <row r="41" spans="2:22" ht="14.4">
      <c r="B41" s="59"/>
      <c r="C41" s="59"/>
      <c r="D41" s="59"/>
      <c r="E41" s="62"/>
      <c r="F41" s="83"/>
      <c r="G41" s="83"/>
      <c r="H41" s="267" t="s">
        <v>1190</v>
      </c>
      <c r="I41" s="262"/>
      <c r="J41" s="9"/>
      <c r="K41" s="9"/>
      <c r="L41" s="278"/>
      <c r="M41" s="278"/>
      <c r="N41" s="278"/>
      <c r="O41" s="279"/>
      <c r="P41" s="280"/>
      <c r="Q41" s="279"/>
      <c r="R41" s="279"/>
      <c r="S41" s="364"/>
      <c r="T41" s="9"/>
      <c r="U41" s="62"/>
      <c r="V41" s="10"/>
    </row>
    <row r="42" spans="2:22" ht="14.4">
      <c r="B42" s="59"/>
      <c r="C42" s="59"/>
      <c r="D42" s="59"/>
      <c r="E42" s="62"/>
      <c r="F42" s="83"/>
      <c r="G42" s="83"/>
      <c r="H42" s="267" t="s">
        <v>1191</v>
      </c>
      <c r="I42" s="262"/>
      <c r="J42" s="9"/>
      <c r="K42" s="9"/>
      <c r="L42" s="278"/>
      <c r="M42" s="278"/>
      <c r="N42" s="278"/>
      <c r="O42" s="279"/>
      <c r="P42" s="280"/>
      <c r="Q42" s="279"/>
      <c r="R42" s="279"/>
      <c r="S42" s="364"/>
      <c r="T42" s="9"/>
      <c r="U42" s="62"/>
      <c r="V42" s="10"/>
    </row>
    <row r="43" spans="2:22" ht="14.4">
      <c r="B43" s="59"/>
      <c r="C43" s="59"/>
      <c r="D43" s="59"/>
      <c r="E43" s="62"/>
      <c r="F43" s="83"/>
      <c r="G43" s="83"/>
      <c r="H43" s="264" t="s">
        <v>1192</v>
      </c>
      <c r="I43" s="262"/>
      <c r="J43" s="9"/>
      <c r="K43" s="9"/>
      <c r="L43" s="278"/>
      <c r="M43" s="278"/>
      <c r="N43" s="278"/>
      <c r="O43" s="279"/>
      <c r="P43" s="280"/>
      <c r="Q43" s="279"/>
      <c r="R43" s="279"/>
      <c r="S43" s="364"/>
      <c r="T43" s="9"/>
      <c r="U43" s="62"/>
      <c r="V43" s="10"/>
    </row>
    <row r="44" spans="2:22" ht="14.4">
      <c r="B44" s="59"/>
      <c r="C44" s="59"/>
      <c r="D44" s="59"/>
      <c r="E44" s="62"/>
      <c r="F44" s="83"/>
      <c r="G44" s="83"/>
      <c r="H44" s="264" t="s">
        <v>1193</v>
      </c>
      <c r="I44" s="262"/>
      <c r="J44" s="9"/>
      <c r="K44" s="9"/>
      <c r="L44" s="278"/>
      <c r="M44" s="278"/>
      <c r="N44" s="278"/>
      <c r="O44" s="279"/>
      <c r="P44" s="280"/>
      <c r="Q44" s="279"/>
      <c r="R44" s="279"/>
      <c r="S44" s="364"/>
      <c r="T44" s="9"/>
      <c r="U44" s="62"/>
      <c r="V44" s="10"/>
    </row>
    <row r="45" spans="2:22" ht="14.4">
      <c r="B45" s="59"/>
      <c r="C45" s="59"/>
      <c r="D45" s="59"/>
      <c r="E45" s="62"/>
      <c r="F45" s="83"/>
      <c r="G45" s="83"/>
      <c r="H45" s="264" t="s">
        <v>1194</v>
      </c>
      <c r="I45" s="262"/>
      <c r="J45" s="9"/>
      <c r="K45" s="9"/>
      <c r="L45" s="278"/>
      <c r="M45" s="278"/>
      <c r="N45" s="278"/>
      <c r="O45" s="279"/>
      <c r="P45" s="280"/>
      <c r="Q45" s="279"/>
      <c r="R45" s="279"/>
      <c r="S45" s="364"/>
      <c r="T45" s="9"/>
      <c r="U45" s="62"/>
      <c r="V45" s="10"/>
    </row>
    <row r="46" spans="2:22" ht="14.4">
      <c r="B46" s="59"/>
      <c r="C46" s="59"/>
      <c r="D46" s="59"/>
      <c r="E46" s="62"/>
      <c r="F46" s="83"/>
      <c r="G46" s="83"/>
      <c r="H46" s="264" t="s">
        <v>1195</v>
      </c>
      <c r="I46" s="262"/>
      <c r="J46" s="9"/>
      <c r="K46" s="9"/>
      <c r="L46" s="278"/>
      <c r="M46" s="278"/>
      <c r="N46" s="278"/>
      <c r="O46" s="279"/>
      <c r="P46" s="280"/>
      <c r="Q46" s="279"/>
      <c r="R46" s="279"/>
      <c r="S46" s="364"/>
      <c r="T46" s="9"/>
      <c r="U46" s="62"/>
      <c r="V46" s="10"/>
    </row>
    <row r="47" spans="2:22" ht="14.4">
      <c r="B47" s="59"/>
      <c r="C47" s="59"/>
      <c r="D47" s="59"/>
      <c r="E47" s="62"/>
      <c r="F47" s="83"/>
      <c r="G47" s="83"/>
      <c r="H47" s="277" t="s">
        <v>1196</v>
      </c>
      <c r="I47" s="262"/>
      <c r="J47" s="9"/>
      <c r="K47" s="9"/>
      <c r="L47" s="278"/>
      <c r="M47" s="278"/>
      <c r="N47" s="278"/>
      <c r="O47" s="279"/>
      <c r="P47" s="280"/>
      <c r="Q47" s="279"/>
      <c r="R47" s="279"/>
      <c r="S47" s="364"/>
      <c r="T47" s="9"/>
      <c r="U47" s="62"/>
      <c r="V47" s="10"/>
    </row>
    <row r="48" spans="2:22" ht="14.4">
      <c r="B48" s="59"/>
      <c r="C48" s="59"/>
      <c r="D48" s="59"/>
      <c r="E48" s="62"/>
      <c r="F48" s="83"/>
      <c r="G48" s="83"/>
      <c r="H48" s="264" t="s">
        <v>1197</v>
      </c>
      <c r="I48" s="262"/>
      <c r="J48" s="9"/>
      <c r="K48" s="9"/>
      <c r="L48" s="278"/>
      <c r="M48" s="278"/>
      <c r="N48" s="278"/>
      <c r="O48" s="279"/>
      <c r="P48" s="280"/>
      <c r="Q48" s="279"/>
      <c r="R48" s="279"/>
      <c r="S48" s="364"/>
      <c r="T48" s="9"/>
      <c r="U48" s="62"/>
      <c r="V48" s="10"/>
    </row>
    <row r="49" spans="2:22" ht="14.4">
      <c r="B49" s="59"/>
      <c r="C49" s="59"/>
      <c r="D49" s="59"/>
      <c r="E49" s="62"/>
      <c r="F49" s="83"/>
      <c r="G49" s="83"/>
      <c r="H49" s="264" t="s">
        <v>1198</v>
      </c>
      <c r="I49" s="262"/>
      <c r="J49" s="9"/>
      <c r="K49" s="9"/>
      <c r="L49" s="278"/>
      <c r="M49" s="278"/>
      <c r="N49" s="278"/>
      <c r="O49" s="279"/>
      <c r="P49" s="280"/>
      <c r="Q49" s="279"/>
      <c r="R49" s="279"/>
      <c r="S49" s="364"/>
      <c r="T49" s="9"/>
      <c r="U49" s="62"/>
      <c r="V49" s="10"/>
    </row>
    <row r="50" spans="2:22" ht="14.4">
      <c r="B50" s="59"/>
      <c r="C50" s="59"/>
      <c r="D50" s="59"/>
      <c r="E50" s="62"/>
      <c r="F50" s="83"/>
      <c r="G50" s="83"/>
      <c r="H50" s="268" t="s">
        <v>1199</v>
      </c>
      <c r="I50" s="262"/>
      <c r="J50" s="9"/>
      <c r="K50" s="9"/>
      <c r="L50" s="278"/>
      <c r="M50" s="278"/>
      <c r="N50" s="278"/>
      <c r="O50" s="279"/>
      <c r="P50" s="280"/>
      <c r="Q50" s="279"/>
      <c r="R50" s="279"/>
      <c r="S50" s="364"/>
      <c r="T50" s="9"/>
      <c r="U50" s="62"/>
      <c r="V50" s="10"/>
    </row>
    <row r="51" spans="2:22" ht="14.4">
      <c r="B51" s="59"/>
      <c r="C51" s="59"/>
      <c r="D51" s="59"/>
      <c r="E51" s="62"/>
      <c r="F51" s="83"/>
      <c r="G51" s="83"/>
      <c r="H51" s="264" t="s">
        <v>1200</v>
      </c>
      <c r="I51" s="262"/>
      <c r="J51" s="9"/>
      <c r="K51" s="9"/>
      <c r="L51" s="278"/>
      <c r="M51" s="278"/>
      <c r="N51" s="278"/>
      <c r="O51" s="279"/>
      <c r="P51" s="280"/>
      <c r="Q51" s="279"/>
      <c r="R51" s="279"/>
      <c r="S51" s="364"/>
      <c r="T51" s="9"/>
      <c r="U51" s="62"/>
      <c r="V51" s="10"/>
    </row>
    <row r="52" spans="2:22" ht="14.4">
      <c r="B52" s="59"/>
      <c r="C52" s="59"/>
      <c r="D52" s="59"/>
      <c r="E52" s="62"/>
      <c r="F52" s="83"/>
      <c r="G52" s="83"/>
      <c r="H52" s="266" t="s">
        <v>1201</v>
      </c>
      <c r="I52" s="262"/>
      <c r="J52" s="9"/>
      <c r="K52" s="9"/>
      <c r="L52" s="278"/>
      <c r="M52" s="278"/>
      <c r="N52" s="278"/>
      <c r="O52" s="279"/>
      <c r="P52" s="280"/>
      <c r="Q52" s="279"/>
      <c r="R52" s="279"/>
      <c r="S52" s="364"/>
      <c r="T52" s="9"/>
      <c r="U52" s="62"/>
      <c r="V52" s="10"/>
    </row>
    <row r="53" spans="2:22" ht="14.4">
      <c r="B53" s="59"/>
      <c r="C53" s="59"/>
      <c r="D53" s="59"/>
      <c r="E53" s="62"/>
      <c r="F53" s="83"/>
      <c r="G53" s="83"/>
      <c r="H53" s="266" t="s">
        <v>1202</v>
      </c>
      <c r="I53" s="262"/>
      <c r="J53" s="9"/>
      <c r="K53" s="9"/>
      <c r="L53" s="278"/>
      <c r="M53" s="278"/>
      <c r="N53" s="278"/>
      <c r="O53" s="279"/>
      <c r="P53" s="280"/>
      <c r="Q53" s="279"/>
      <c r="R53" s="279"/>
      <c r="S53" s="364"/>
      <c r="T53" s="9"/>
      <c r="U53" s="62"/>
      <c r="V53" s="10"/>
    </row>
    <row r="54" spans="2:22" ht="14.4">
      <c r="B54" s="59"/>
      <c r="C54" s="59"/>
      <c r="D54" s="59"/>
      <c r="E54" s="62"/>
      <c r="F54" s="83"/>
      <c r="G54" s="83"/>
      <c r="H54" s="266" t="s">
        <v>1203</v>
      </c>
      <c r="I54" s="262"/>
      <c r="J54" s="9"/>
      <c r="K54" s="9"/>
      <c r="L54" s="278"/>
      <c r="M54" s="278"/>
      <c r="N54" s="278"/>
      <c r="O54" s="279"/>
      <c r="P54" s="280"/>
      <c r="Q54" s="279"/>
      <c r="R54" s="279"/>
      <c r="S54" s="364"/>
      <c r="T54" s="9"/>
      <c r="U54" s="62"/>
      <c r="V54" s="10"/>
    </row>
    <row r="55" spans="2:22" ht="14.4">
      <c r="B55" s="59"/>
      <c r="C55" s="59"/>
      <c r="D55" s="59"/>
      <c r="E55" s="62"/>
      <c r="F55" s="83"/>
      <c r="G55" s="83"/>
      <c r="H55" s="266" t="s">
        <v>1204</v>
      </c>
      <c r="I55" s="262"/>
      <c r="J55" s="9"/>
      <c r="K55" s="9"/>
      <c r="L55" s="278"/>
      <c r="M55" s="278"/>
      <c r="N55" s="278"/>
      <c r="O55" s="279"/>
      <c r="P55" s="280"/>
      <c r="Q55" s="279"/>
      <c r="R55" s="279"/>
      <c r="S55" s="364"/>
      <c r="T55" s="9"/>
      <c r="U55" s="62"/>
      <c r="V55" s="10"/>
    </row>
    <row r="56" spans="2:22" ht="14.4">
      <c r="B56" s="59"/>
      <c r="C56" s="59"/>
      <c r="D56" s="59"/>
      <c r="E56" s="62"/>
      <c r="F56" s="83"/>
      <c r="G56" s="83"/>
      <c r="H56" s="264" t="s">
        <v>1205</v>
      </c>
      <c r="I56" s="262"/>
      <c r="J56" s="9"/>
      <c r="K56" s="9"/>
      <c r="L56" s="278"/>
      <c r="M56" s="278"/>
      <c r="N56" s="278"/>
      <c r="O56" s="279"/>
      <c r="P56" s="280"/>
      <c r="Q56" s="279"/>
      <c r="R56" s="279"/>
      <c r="S56" s="364"/>
      <c r="T56" s="9"/>
      <c r="U56" s="62"/>
      <c r="V56" s="10"/>
    </row>
  </sheetData>
  <dataValidations count="1">
    <dataValidation type="list" allowBlank="1" showInputMessage="1" showErrorMessage="1" errorTitle="Cek Nama Pekerjaan" error="Nama Pekerjaan tidak seuai dengan di sheet pekerjaan" promptTitle="Nama Pekerjaan " prompt="Isi dengan nama sesuai pada sheet pekerjaan [WAJIB SAMA]_x000a_" sqref="H8" xr:uid="{1CE49689-5107-A24E-BC19-3C7E6D51A91B}">
      <formula1>$A:$A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BA1B-003F-4266-A476-FED8A942F32D}">
  <sheetPr>
    <tabColor rgb="FF92D050"/>
    <pageSetUpPr fitToPage="1"/>
  </sheetPr>
  <dimension ref="A1:V332"/>
  <sheetViews>
    <sheetView topLeftCell="A68" zoomScale="70" zoomScaleNormal="70" workbookViewId="0">
      <selection activeCell="A38" sqref="A38:XFD38"/>
    </sheetView>
  </sheetViews>
  <sheetFormatPr defaultColWidth="9.09765625" defaultRowHeight="13.8"/>
  <cols>
    <col min="1" max="1" width="13.69921875" style="18" customWidth="1"/>
    <col min="2" max="2" width="8.3984375" style="18" customWidth="1"/>
    <col min="3" max="3" width="12.69921875" style="18" bestFit="1" customWidth="1"/>
    <col min="4" max="4" width="18.3984375" style="2" hidden="1" customWidth="1"/>
    <col min="5" max="5" width="19" style="73" customWidth="1"/>
    <col min="6" max="6" width="14.296875" style="73" customWidth="1"/>
    <col min="7" max="7" width="118.3984375" style="3" bestFit="1" customWidth="1"/>
    <col min="8" max="8" width="53.3984375" style="3" customWidth="1"/>
    <col min="9" max="9" width="22" style="3" customWidth="1"/>
    <col min="10" max="10" width="12" style="3" bestFit="1" customWidth="1"/>
    <col min="11" max="11" width="20.296875" style="26" bestFit="1" customWidth="1"/>
    <col min="12" max="12" width="14.3984375" style="26" bestFit="1" customWidth="1"/>
    <col min="13" max="13" width="13.69921875" style="26" bestFit="1" customWidth="1"/>
    <col min="14" max="14" width="21.8984375" style="27" bestFit="1" customWidth="1"/>
    <col min="15" max="15" width="20.296875" style="28" customWidth="1"/>
    <col min="16" max="16" width="25.69921875" style="27" hidden="1" customWidth="1"/>
    <col min="17" max="17" width="22.69921875" style="27" bestFit="1" customWidth="1"/>
    <col min="18" max="18" width="15.8984375" style="361" bestFit="1" customWidth="1"/>
    <col min="19" max="19" width="48.296875" style="3" customWidth="1"/>
    <col min="20" max="20" width="11" style="2" bestFit="1" customWidth="1"/>
    <col min="21" max="21" width="41.69921875" bestFit="1" customWidth="1"/>
    <col min="22" max="22" width="24.3984375" bestFit="1" customWidth="1"/>
  </cols>
  <sheetData>
    <row r="1" spans="1:22" ht="14.4">
      <c r="A1" s="576"/>
      <c r="B1" s="576"/>
      <c r="C1" s="86"/>
      <c r="D1" s="14"/>
      <c r="G1" s="14">
        <f>SUBTOTAL(3,G3:G239)</f>
        <v>144</v>
      </c>
      <c r="I1" s="2"/>
      <c r="J1" s="2"/>
      <c r="N1" s="504"/>
      <c r="O1" s="504"/>
      <c r="P1" s="505"/>
      <c r="Q1" s="504"/>
      <c r="R1" s="360"/>
      <c r="S1" s="93"/>
      <c r="T1" s="74"/>
      <c r="U1" s="2"/>
    </row>
    <row r="2" spans="1:22" s="2" customFormat="1" ht="27.6">
      <c r="A2" s="325" t="s">
        <v>489</v>
      </c>
      <c r="B2" s="325" t="s">
        <v>1139</v>
      </c>
      <c r="C2" s="325" t="s">
        <v>1140</v>
      </c>
      <c r="D2" s="325" t="s">
        <v>1141</v>
      </c>
      <c r="E2" s="325" t="s">
        <v>490</v>
      </c>
      <c r="F2" s="477" t="s">
        <v>1142</v>
      </c>
      <c r="G2" s="325" t="s">
        <v>491</v>
      </c>
      <c r="H2" s="325" t="s">
        <v>1143</v>
      </c>
      <c r="I2" s="325" t="s">
        <v>1144</v>
      </c>
      <c r="J2" s="325" t="s">
        <v>1206</v>
      </c>
      <c r="K2" s="326" t="s">
        <v>1145</v>
      </c>
      <c r="L2" s="326" t="s">
        <v>1146</v>
      </c>
      <c r="M2" s="326" t="s">
        <v>1147</v>
      </c>
      <c r="N2" s="327" t="s">
        <v>1148</v>
      </c>
      <c r="O2" s="328" t="s">
        <v>1149</v>
      </c>
      <c r="P2" s="327" t="s">
        <v>1150</v>
      </c>
      <c r="Q2" s="327" t="s">
        <v>1151</v>
      </c>
      <c r="R2" s="327" t="s">
        <v>1152</v>
      </c>
      <c r="S2" s="325" t="s">
        <v>497</v>
      </c>
      <c r="T2" s="325" t="s">
        <v>496</v>
      </c>
      <c r="U2" s="325" t="s">
        <v>783</v>
      </c>
      <c r="V2" s="337" t="s">
        <v>1207</v>
      </c>
    </row>
    <row r="3" spans="1:22" hidden="1">
      <c r="A3" s="338" t="s">
        <v>22</v>
      </c>
      <c r="B3" s="338">
        <f>YEAR(tProjectsMaster212[[#This Row],[End Date]])</f>
        <v>2025</v>
      </c>
      <c r="C3" s="338" t="str">
        <f t="shared" ref="C3:C34" ca="1" si="0">IF(L3&gt;TODAY(),"FUTURE",IF(M3&gt;TODAY(),"ON GOING","CLOSED"))</f>
        <v>CLOSED</v>
      </c>
      <c r="D3" s="55" t="s">
        <v>1208</v>
      </c>
      <c r="E3" s="338" t="s">
        <v>499</v>
      </c>
      <c r="F3" s="339" t="s">
        <v>1028</v>
      </c>
      <c r="G3" s="340" t="s">
        <v>500</v>
      </c>
      <c r="H3" s="340">
        <v>4500615890</v>
      </c>
      <c r="I3" s="185" t="s">
        <v>1155</v>
      </c>
      <c r="J3" s="478" t="s">
        <v>1209</v>
      </c>
      <c r="K3" s="341">
        <v>45748</v>
      </c>
      <c r="L3" s="341">
        <v>45736</v>
      </c>
      <c r="M3" s="341">
        <v>46022</v>
      </c>
      <c r="N3" s="342">
        <f>39000000*(9/12)</f>
        <v>29250000</v>
      </c>
      <c r="O3" s="342">
        <v>24000000</v>
      </c>
      <c r="P3" s="193">
        <v>0</v>
      </c>
      <c r="Q3" s="190"/>
      <c r="R3" s="195">
        <f>tProjectsMaster212[[#This Row],[Actual cost (admin)]]/tProjectsMaster212[[#This Row],[Costbased]]</f>
        <v>0</v>
      </c>
      <c r="S3" s="191"/>
      <c r="T3" s="192"/>
      <c r="U3" s="78"/>
      <c r="V3" s="78"/>
    </row>
    <row r="4" spans="1:22" hidden="1">
      <c r="A4" s="55" t="s">
        <v>22</v>
      </c>
      <c r="B4" s="55">
        <f>YEAR(tProjectsMaster212[[#This Row],[End Date]])</f>
        <v>2026</v>
      </c>
      <c r="C4" s="55" t="str">
        <f t="shared" ca="1" si="0"/>
        <v>CLOSED</v>
      </c>
      <c r="D4" s="55" t="s">
        <v>1208</v>
      </c>
      <c r="E4" s="55" t="s">
        <v>499</v>
      </c>
      <c r="F4" s="83" t="s">
        <v>1028</v>
      </c>
      <c r="G4" s="78" t="s">
        <v>500</v>
      </c>
      <c r="H4" s="78">
        <v>4500615890</v>
      </c>
      <c r="I4" s="185" t="s">
        <v>1155</v>
      </c>
      <c r="J4" s="478" t="s">
        <v>1209</v>
      </c>
      <c r="K4" s="188">
        <v>45748</v>
      </c>
      <c r="L4" s="188">
        <v>46023</v>
      </c>
      <c r="M4" s="188">
        <v>46100</v>
      </c>
      <c r="N4" s="193">
        <f>39000000*(3/12)</f>
        <v>9750000</v>
      </c>
      <c r="O4" s="193">
        <v>0</v>
      </c>
      <c r="P4" s="200">
        <v>24000000</v>
      </c>
      <c r="Q4" s="194">
        <f>SUMIF('REALISASI 2026'!$C$7:$C$1048576,tProjectsMaster212[[#This Row],[Project_ID]],'REALISASI 2026'!$I$7:$I$1048576)</f>
        <v>0</v>
      </c>
      <c r="R4" s="359" t="e">
        <f>tProjectsMaster212[[#This Row],[Actual cost (admin)]]/tProjectsMaster212[[#This Row],[Costbased]]</f>
        <v>#DIV/0!</v>
      </c>
      <c r="S4" s="191"/>
      <c r="T4" s="192"/>
      <c r="U4" s="78"/>
      <c r="V4" s="78"/>
    </row>
    <row r="5" spans="1:22" hidden="1">
      <c r="A5" s="338" t="s">
        <v>121</v>
      </c>
      <c r="B5" s="338">
        <f>YEAR(tProjectsMaster212[[#This Row],[End Date]])</f>
        <v>2025</v>
      </c>
      <c r="C5" s="338" t="str">
        <f t="shared" ca="1" si="0"/>
        <v>CLOSED</v>
      </c>
      <c r="D5" s="55" t="s">
        <v>1208</v>
      </c>
      <c r="E5" s="338" t="s">
        <v>502</v>
      </c>
      <c r="F5" s="339" t="s">
        <v>1028</v>
      </c>
      <c r="G5" s="340" t="s">
        <v>1210</v>
      </c>
      <c r="H5" s="340" t="s">
        <v>1211</v>
      </c>
      <c r="I5" s="185" t="s">
        <v>1155</v>
      </c>
      <c r="J5" s="478" t="s">
        <v>1209</v>
      </c>
      <c r="K5" s="341">
        <v>45933</v>
      </c>
      <c r="L5" s="341">
        <v>45933</v>
      </c>
      <c r="M5" s="341">
        <v>46022</v>
      </c>
      <c r="N5" s="342">
        <v>13056000</v>
      </c>
      <c r="O5" s="342">
        <v>0</v>
      </c>
      <c r="P5" s="200">
        <v>0</v>
      </c>
      <c r="Q5" s="190"/>
      <c r="R5" s="195" t="e">
        <f>tProjectsMaster212[[#This Row],[Actual cost (admin)]]/tProjectsMaster212[[#This Row],[Costbased]]</f>
        <v>#DIV/0!</v>
      </c>
      <c r="S5" s="191"/>
      <c r="T5" s="192"/>
      <c r="U5" s="78"/>
      <c r="V5" s="78"/>
    </row>
    <row r="6" spans="1:22" hidden="1">
      <c r="A6" s="55" t="s">
        <v>121</v>
      </c>
      <c r="B6" s="55">
        <f>YEAR(tProjectsMaster212[[#This Row],[End Date]])</f>
        <v>2026</v>
      </c>
      <c r="C6" s="55" t="str">
        <f t="shared" ca="1" si="0"/>
        <v>ON GOING</v>
      </c>
      <c r="D6" s="55" t="s">
        <v>1208</v>
      </c>
      <c r="E6" s="55" t="s">
        <v>502</v>
      </c>
      <c r="F6" s="83" t="s">
        <v>1028</v>
      </c>
      <c r="G6" s="78" t="s">
        <v>1210</v>
      </c>
      <c r="H6" s="78" t="s">
        <v>1211</v>
      </c>
      <c r="I6" s="185" t="s">
        <v>1155</v>
      </c>
      <c r="J6" s="478" t="s">
        <v>1209</v>
      </c>
      <c r="K6" s="188">
        <v>45933</v>
      </c>
      <c r="L6" s="188">
        <v>46023</v>
      </c>
      <c r="M6" s="188">
        <v>46387</v>
      </c>
      <c r="N6" s="193">
        <v>0</v>
      </c>
      <c r="O6" s="193">
        <v>7680000</v>
      </c>
      <c r="P6" s="193">
        <f>(4000*80)*24</f>
        <v>7680000</v>
      </c>
      <c r="Q6" s="194">
        <f>SUMIF('REALISASI 2026'!$C$7:$C$1048576,tProjectsMaster212[[#This Row],[Project_ID]],'REALISASI 2026'!$I$7:$I$1048576)</f>
        <v>0</v>
      </c>
      <c r="R6" s="195">
        <f>tProjectsMaster212[[#This Row],[Actual cost (admin)]]/tProjectsMaster212[[#This Row],[Costbased]]</f>
        <v>0</v>
      </c>
      <c r="S6" s="196"/>
      <c r="T6" s="192"/>
      <c r="U6" s="78"/>
      <c r="V6" s="78"/>
    </row>
    <row r="7" spans="1:22" hidden="1">
      <c r="A7" s="55" t="s">
        <v>121</v>
      </c>
      <c r="B7" s="55">
        <f>YEAR(tProjectsMaster212[[#This Row],[End Date]])</f>
        <v>2027</v>
      </c>
      <c r="C7" s="55" t="str">
        <f t="shared" ca="1" si="0"/>
        <v>FUTURE</v>
      </c>
      <c r="D7" s="55" t="s">
        <v>1208</v>
      </c>
      <c r="E7" s="55" t="s">
        <v>502</v>
      </c>
      <c r="F7" s="83" t="s">
        <v>1028</v>
      </c>
      <c r="G7" s="78" t="s">
        <v>1210</v>
      </c>
      <c r="H7" s="78" t="s">
        <v>1211</v>
      </c>
      <c r="I7" s="185" t="s">
        <v>1155</v>
      </c>
      <c r="J7" s="478" t="s">
        <v>1209</v>
      </c>
      <c r="K7" s="188">
        <v>45933</v>
      </c>
      <c r="L7" s="188">
        <v>46388</v>
      </c>
      <c r="M7" s="188">
        <v>46662</v>
      </c>
      <c r="N7" s="193">
        <v>0</v>
      </c>
      <c r="O7" s="193">
        <v>0</v>
      </c>
      <c r="P7" s="200">
        <v>0</v>
      </c>
      <c r="Q7" s="190"/>
      <c r="R7" s="195" t="e">
        <f>tProjectsMaster212[[#This Row],[Actual cost (admin)]]/tProjectsMaster212[[#This Row],[Costbased]]</f>
        <v>#DIV/0!</v>
      </c>
      <c r="S7" s="191"/>
      <c r="T7" s="192"/>
      <c r="U7" s="78"/>
      <c r="V7" s="78"/>
    </row>
    <row r="8" spans="1:22">
      <c r="A8" s="338" t="s">
        <v>128</v>
      </c>
      <c r="B8" s="338">
        <f>YEAR(tProjectsMaster212[[#This Row],[End Date]])</f>
        <v>2025</v>
      </c>
      <c r="C8" s="338" t="str">
        <f t="shared" ca="1" si="0"/>
        <v>CLOSED</v>
      </c>
      <c r="D8" s="55" t="s">
        <v>1212</v>
      </c>
      <c r="E8" s="338" t="s">
        <v>504</v>
      </c>
      <c r="F8" s="339" t="s">
        <v>1028</v>
      </c>
      <c r="G8" s="343" t="s">
        <v>505</v>
      </c>
      <c r="H8" s="344" t="s">
        <v>1213</v>
      </c>
      <c r="I8" s="185" t="s">
        <v>1155</v>
      </c>
      <c r="J8" s="478" t="s">
        <v>1214</v>
      </c>
      <c r="K8" s="345">
        <v>45719</v>
      </c>
      <c r="L8" s="341">
        <v>45748</v>
      </c>
      <c r="M8" s="341">
        <v>46022</v>
      </c>
      <c r="N8" s="342">
        <f>1820040000*(9/12)</f>
        <v>1365030000</v>
      </c>
      <c r="O8" s="342">
        <f>(1096817412/12)*8</f>
        <v>731211608</v>
      </c>
      <c r="P8" s="197"/>
      <c r="Q8" s="197"/>
      <c r="R8" s="238">
        <f>tProjectsMaster212[[#This Row],[Actual cost (admin)]]/tProjectsMaster212[[#This Row],[Costbased]]</f>
        <v>0</v>
      </c>
      <c r="S8" s="196"/>
      <c r="T8" s="192">
        <v>0.79</v>
      </c>
      <c r="U8" s="78"/>
      <c r="V8" s="78"/>
    </row>
    <row r="9" spans="1:22" s="22" customFormat="1">
      <c r="A9" s="338" t="s">
        <v>128</v>
      </c>
      <c r="B9" s="338">
        <f>YEAR(tProjectsMaster212[[#This Row],[End Date]])</f>
        <v>2026</v>
      </c>
      <c r="C9" s="338" t="str">
        <f t="shared" ca="1" si="0"/>
        <v>CLOSED</v>
      </c>
      <c r="D9" s="55" t="s">
        <v>1212</v>
      </c>
      <c r="E9" s="338" t="s">
        <v>504</v>
      </c>
      <c r="F9" s="339" t="s">
        <v>1028</v>
      </c>
      <c r="G9" s="343" t="s">
        <v>505</v>
      </c>
      <c r="H9" s="344" t="s">
        <v>1213</v>
      </c>
      <c r="I9" s="185" t="s">
        <v>1155</v>
      </c>
      <c r="J9" s="478" t="s">
        <v>1214</v>
      </c>
      <c r="K9" s="345">
        <v>45719</v>
      </c>
      <c r="L9" s="341">
        <v>46023</v>
      </c>
      <c r="M9" s="341">
        <v>46112</v>
      </c>
      <c r="N9" s="193">
        <f>1820040000*(3/12)</f>
        <v>455010000</v>
      </c>
      <c r="O9" s="193">
        <f>(1096817412/12)*4</f>
        <v>365605804</v>
      </c>
      <c r="P9" s="200"/>
      <c r="Q9" s="194">
        <f>SUMIF('REALISASI 2026'!$C$7:$C$1048576,tProjectsMaster212[[#This Row],[Project_ID]],'REALISASI 2026'!$I$7:$I$1048576)</f>
        <v>219742521.39999998</v>
      </c>
      <c r="R9" s="195">
        <f>tProjectsMaster212[[#This Row],[Actual cost (admin)]]/tProjectsMaster212[[#This Row],[Costbased]]</f>
        <v>0.6010367422941677</v>
      </c>
      <c r="S9" s="196"/>
      <c r="T9" s="192">
        <v>0.79</v>
      </c>
      <c r="U9" s="78"/>
      <c r="V9" s="78"/>
    </row>
    <row r="10" spans="1:22" s="22" customFormat="1" ht="41.4" hidden="1">
      <c r="A10" s="338" t="s">
        <v>130</v>
      </c>
      <c r="B10" s="338">
        <f>YEAR(tProjectsMaster212[[#This Row],[End Date]])</f>
        <v>2023</v>
      </c>
      <c r="C10" s="338" t="str">
        <f t="shared" ca="1" si="0"/>
        <v>CLOSED</v>
      </c>
      <c r="D10" s="55" t="s">
        <v>1215</v>
      </c>
      <c r="E10" s="338" t="s">
        <v>507</v>
      </c>
      <c r="F10" s="339" t="s">
        <v>1028</v>
      </c>
      <c r="G10" s="340" t="s">
        <v>508</v>
      </c>
      <c r="H10" s="340" t="s">
        <v>1216</v>
      </c>
      <c r="I10" s="185" t="s">
        <v>1155</v>
      </c>
      <c r="J10" s="478" t="s">
        <v>1214</v>
      </c>
      <c r="K10" s="341">
        <v>45054</v>
      </c>
      <c r="L10" s="341">
        <v>45017</v>
      </c>
      <c r="M10" s="341">
        <v>45291</v>
      </c>
      <c r="N10" s="342">
        <f>9/12*355584000</f>
        <v>266688000</v>
      </c>
      <c r="O10" s="342">
        <f>9/12*296184156</f>
        <v>222138117</v>
      </c>
      <c r="P10" s="365"/>
      <c r="Q10" s="197"/>
      <c r="R10" s="238">
        <f>tProjectsMaster212[[#This Row],[Actual cost (admin)]]/tProjectsMaster212[[#This Row],[Costbased]]</f>
        <v>0</v>
      </c>
      <c r="S10" s="196" t="s">
        <v>1217</v>
      </c>
      <c r="T10" s="192"/>
      <c r="U10" s="198" t="s">
        <v>1218</v>
      </c>
      <c r="V10" s="78"/>
    </row>
    <row r="11" spans="1:22" s="22" customFormat="1" ht="41.4" hidden="1">
      <c r="A11" s="338" t="s">
        <v>130</v>
      </c>
      <c r="B11" s="338">
        <f>YEAR(tProjectsMaster212[[#This Row],[End Date]])</f>
        <v>2024</v>
      </c>
      <c r="C11" s="338" t="str">
        <f t="shared" ca="1" si="0"/>
        <v>CLOSED</v>
      </c>
      <c r="D11" s="55" t="s">
        <v>1215</v>
      </c>
      <c r="E11" s="338" t="s">
        <v>507</v>
      </c>
      <c r="F11" s="339" t="s">
        <v>1028</v>
      </c>
      <c r="G11" s="340" t="s">
        <v>508</v>
      </c>
      <c r="H11" s="340" t="s">
        <v>1216</v>
      </c>
      <c r="I11" s="185" t="s">
        <v>1155</v>
      </c>
      <c r="J11" s="478" t="s">
        <v>1214</v>
      </c>
      <c r="K11" s="341">
        <v>45054</v>
      </c>
      <c r="L11" s="341">
        <v>45292</v>
      </c>
      <c r="M11" s="341">
        <v>45657</v>
      </c>
      <c r="N11" s="342">
        <f>(3/12*355584000)+(9/12*336120000)</f>
        <v>340986000</v>
      </c>
      <c r="O11" s="342">
        <v>296184156</v>
      </c>
      <c r="P11" s="365"/>
      <c r="Q11" s="197"/>
      <c r="R11" s="238">
        <f>tProjectsMaster212[[#This Row],[Actual cost (admin)]]/tProjectsMaster212[[#This Row],[Costbased]]</f>
        <v>0</v>
      </c>
      <c r="S11" s="196" t="s">
        <v>1217</v>
      </c>
      <c r="T11" s="192"/>
      <c r="U11" s="198" t="s">
        <v>1218</v>
      </c>
      <c r="V11" s="78"/>
    </row>
    <row r="12" spans="1:22" ht="41.4" hidden="1">
      <c r="A12" s="338" t="s">
        <v>130</v>
      </c>
      <c r="B12" s="338">
        <f>YEAR(tProjectsMaster212[[#This Row],[End Date]])</f>
        <v>2025</v>
      </c>
      <c r="C12" s="338" t="str">
        <f t="shared" ca="1" si="0"/>
        <v>CLOSED</v>
      </c>
      <c r="D12" s="55" t="s">
        <v>1215</v>
      </c>
      <c r="E12" s="338" t="s">
        <v>507</v>
      </c>
      <c r="F12" s="339" t="s">
        <v>1028</v>
      </c>
      <c r="G12" s="340" t="s">
        <v>508</v>
      </c>
      <c r="H12" s="340" t="s">
        <v>1216</v>
      </c>
      <c r="I12" s="185" t="s">
        <v>1155</v>
      </c>
      <c r="J12" s="478" t="s">
        <v>1214</v>
      </c>
      <c r="K12" s="341">
        <v>45054</v>
      </c>
      <c r="L12" s="341">
        <v>45658</v>
      </c>
      <c r="M12" s="341">
        <v>46022</v>
      </c>
      <c r="N12" s="342">
        <f>(3/12*336120000)+(9/12*295440000)</f>
        <v>305610000</v>
      </c>
      <c r="O12" s="342">
        <f>(3/12*((18*608243)+(22*555320)+(3*505533)))+(9/12*((14*608243)+(22*555320)+(2*505533)))</f>
        <v>22478134.25</v>
      </c>
      <c r="P12" s="365"/>
      <c r="Q12" s="197"/>
      <c r="R12" s="238">
        <f>tProjectsMaster212[[#This Row],[Actual cost (admin)]]/tProjectsMaster212[[#This Row],[Costbased]]</f>
        <v>0</v>
      </c>
      <c r="S12" s="196" t="s">
        <v>1217</v>
      </c>
      <c r="T12" s="192"/>
      <c r="U12" s="198" t="s">
        <v>1218</v>
      </c>
      <c r="V12" s="78"/>
    </row>
    <row r="13" spans="1:22" ht="41.4" hidden="1">
      <c r="A13" s="338" t="s">
        <v>130</v>
      </c>
      <c r="B13" s="338">
        <f>YEAR(tProjectsMaster212[[#This Row],[End Date]])</f>
        <v>2026</v>
      </c>
      <c r="C13" s="338" t="str">
        <f t="shared" ca="1" si="0"/>
        <v>CLOSED</v>
      </c>
      <c r="D13" s="55" t="s">
        <v>1215</v>
      </c>
      <c r="E13" s="338" t="s">
        <v>507</v>
      </c>
      <c r="F13" s="339" t="s">
        <v>1028</v>
      </c>
      <c r="G13" s="340" t="s">
        <v>508</v>
      </c>
      <c r="H13" s="340" t="s">
        <v>1216</v>
      </c>
      <c r="I13" s="185" t="s">
        <v>1155</v>
      </c>
      <c r="J13" s="478" t="s">
        <v>1214</v>
      </c>
      <c r="K13" s="341">
        <v>45054</v>
      </c>
      <c r="L13" s="341">
        <v>46023</v>
      </c>
      <c r="M13" s="341">
        <v>46112</v>
      </c>
      <c r="N13" s="193">
        <f>3/12*295440000</f>
        <v>73860000</v>
      </c>
      <c r="O13" s="193">
        <f>3/12*((14*608243)+(22*555320)+(2*505533))</f>
        <v>5435877</v>
      </c>
      <c r="P13" s="365"/>
      <c r="Q13" s="346">
        <f>SUMIF('REALISASI 2026'!$C$7:$C$1048576,tProjectsMaster212[[#This Row],[Project_ID]],'REALISASI 2026'!$I$7:$I$1048576)</f>
        <v>33696039</v>
      </c>
      <c r="R13" s="347">
        <f>tProjectsMaster212[[#This Row],[Actual cost (admin)]]/tProjectsMaster212[[#This Row],[Costbased]]</f>
        <v>6.1988229314239449</v>
      </c>
      <c r="S13" s="196" t="s">
        <v>1217</v>
      </c>
      <c r="T13" s="192"/>
      <c r="U13" s="198" t="s">
        <v>1218</v>
      </c>
      <c r="V13" s="78"/>
    </row>
    <row r="14" spans="1:22">
      <c r="A14" s="338" t="s">
        <v>184</v>
      </c>
      <c r="B14" s="338">
        <f>YEAR(tProjectsMaster212[[#This Row],[End Date]])</f>
        <v>2024</v>
      </c>
      <c r="C14" s="338" t="str">
        <f t="shared" ca="1" si="0"/>
        <v>CLOSED</v>
      </c>
      <c r="D14" s="55" t="s">
        <v>1219</v>
      </c>
      <c r="E14" s="338" t="s">
        <v>510</v>
      </c>
      <c r="F14" s="339" t="s">
        <v>1028</v>
      </c>
      <c r="G14" s="340" t="s">
        <v>511</v>
      </c>
      <c r="H14" s="340">
        <v>3950379274</v>
      </c>
      <c r="I14" s="185" t="s">
        <v>1155</v>
      </c>
      <c r="J14" s="478" t="s">
        <v>1209</v>
      </c>
      <c r="K14" s="341">
        <v>45607</v>
      </c>
      <c r="L14" s="341">
        <v>45607</v>
      </c>
      <c r="M14" s="341">
        <v>45657</v>
      </c>
      <c r="N14" s="342">
        <f>2/18*4994758480</f>
        <v>554973164.44444442</v>
      </c>
      <c r="O14" s="342">
        <f>2/18*4848359566</f>
        <v>538706618.44444442</v>
      </c>
      <c r="P14" s="199"/>
      <c r="Q14" s="199"/>
      <c r="R14" s="238">
        <f>tProjectsMaster212[[#This Row],[Actual cost (admin)]]/tProjectsMaster212[[#This Row],[Costbased]]</f>
        <v>0</v>
      </c>
      <c r="S14" s="183" t="s">
        <v>1220</v>
      </c>
      <c r="T14" s="192">
        <v>0.1119</v>
      </c>
      <c r="U14" s="183"/>
      <c r="V14" s="78"/>
    </row>
    <row r="15" spans="1:22">
      <c r="A15" s="338" t="s">
        <v>184</v>
      </c>
      <c r="B15" s="338">
        <f>YEAR(tProjectsMaster212[[#This Row],[End Date]])</f>
        <v>2025</v>
      </c>
      <c r="C15" s="338" t="str">
        <f t="shared" ca="1" si="0"/>
        <v>CLOSED</v>
      </c>
      <c r="D15" s="55" t="s">
        <v>1219</v>
      </c>
      <c r="E15" s="338" t="s">
        <v>510</v>
      </c>
      <c r="F15" s="339" t="s">
        <v>1028</v>
      </c>
      <c r="G15" s="340" t="s">
        <v>511</v>
      </c>
      <c r="H15" s="340">
        <v>3950379274</v>
      </c>
      <c r="I15" s="185" t="s">
        <v>1155</v>
      </c>
      <c r="J15" s="478" t="s">
        <v>1209</v>
      </c>
      <c r="K15" s="341">
        <v>45607</v>
      </c>
      <c r="L15" s="341">
        <v>45658</v>
      </c>
      <c r="M15" s="341">
        <v>46022</v>
      </c>
      <c r="N15" s="348">
        <f>12/18*4994758480</f>
        <v>3329838986.6666665</v>
      </c>
      <c r="O15" s="348">
        <f>12/18*4848359566</f>
        <v>3232239710.6666665</v>
      </c>
      <c r="P15" s="199"/>
      <c r="Q15" s="199"/>
      <c r="R15" s="238">
        <f>tProjectsMaster212[[#This Row],[Actual cost (admin)]]/tProjectsMaster212[[#This Row],[Costbased]]</f>
        <v>0</v>
      </c>
      <c r="S15" s="183" t="s">
        <v>1220</v>
      </c>
      <c r="T15" s="192">
        <v>0.1119</v>
      </c>
      <c r="U15" s="183"/>
      <c r="V15" s="78"/>
    </row>
    <row r="16" spans="1:22">
      <c r="A16" s="338" t="s">
        <v>184</v>
      </c>
      <c r="B16" s="338">
        <f>YEAR(tProjectsMaster212[[#This Row],[End Date]])</f>
        <v>2026</v>
      </c>
      <c r="C16" s="338" t="str">
        <f t="shared" ca="1" si="0"/>
        <v>CLOSED</v>
      </c>
      <c r="D16" s="55" t="s">
        <v>1219</v>
      </c>
      <c r="E16" s="338" t="s">
        <v>510</v>
      </c>
      <c r="F16" s="339" t="s">
        <v>1028</v>
      </c>
      <c r="G16" s="340" t="s">
        <v>511</v>
      </c>
      <c r="H16" s="340">
        <v>3950379274</v>
      </c>
      <c r="I16" s="185" t="s">
        <v>1155</v>
      </c>
      <c r="J16" s="478" t="s">
        <v>1209</v>
      </c>
      <c r="K16" s="341">
        <v>45607</v>
      </c>
      <c r="L16" s="341">
        <v>46023</v>
      </c>
      <c r="M16" s="341">
        <v>46153</v>
      </c>
      <c r="N16" s="213">
        <f>4/18*4994758480</f>
        <v>1109946328.8888888</v>
      </c>
      <c r="O16" s="220">
        <f>4/18*4848359566</f>
        <v>1077413236.8888888</v>
      </c>
      <c r="P16" s="200">
        <f>SUMIF('REALISASI 2026'!$C$7:$C$1048576,tProjectsMaster212[[#This Row],[Project_ID]],'REALISASI 2026'!$I$7:$I$1048576)</f>
        <v>0</v>
      </c>
      <c r="Q16" s="202">
        <f>SUMIF('REALISASI 2026'!$C$7:$C$1048576,tProjectsMaster212[[#This Row],[Project_ID]],'REALISASI 2026'!$I$7:$I$1048576)</f>
        <v>0</v>
      </c>
      <c r="R16" s="207">
        <f>tProjectsMaster212[[#This Row],[Actual cost (admin)]]/tProjectsMaster212[[#This Row],[Costbased]]</f>
        <v>0</v>
      </c>
      <c r="S16" s="183" t="s">
        <v>1220</v>
      </c>
      <c r="T16" s="192">
        <v>0.1119</v>
      </c>
      <c r="U16" s="183"/>
      <c r="V16" s="78"/>
    </row>
    <row r="17" spans="1:22">
      <c r="A17" s="338" t="s">
        <v>190</v>
      </c>
      <c r="B17" s="338">
        <f>YEAR(tProjectsMaster212[[#This Row],[End Date]])</f>
        <v>2025</v>
      </c>
      <c r="C17" s="338" t="str">
        <f t="shared" ca="1" si="0"/>
        <v>CLOSED</v>
      </c>
      <c r="D17" s="55"/>
      <c r="E17" s="338" t="s">
        <v>513</v>
      </c>
      <c r="F17" s="339" t="s">
        <v>1221</v>
      </c>
      <c r="G17" s="340" t="s">
        <v>514</v>
      </c>
      <c r="H17" s="349" t="s">
        <v>1222</v>
      </c>
      <c r="I17" s="340" t="s">
        <v>1223</v>
      </c>
      <c r="J17" s="338" t="s">
        <v>1214</v>
      </c>
      <c r="K17" s="345">
        <v>45706</v>
      </c>
      <c r="L17" s="341">
        <v>45658</v>
      </c>
      <c r="M17" s="341">
        <v>46022</v>
      </c>
      <c r="N17" s="342">
        <v>8449020551</v>
      </c>
      <c r="O17" s="342">
        <v>7790854014.7199993</v>
      </c>
      <c r="P17" s="200">
        <v>6204017335.8000002</v>
      </c>
      <c r="Q17" s="190"/>
      <c r="R17" s="195">
        <f>tProjectsMaster212[[#This Row],[Actual cost (admin)]]/tProjectsMaster212[[#This Row],[Costbased]]</f>
        <v>0</v>
      </c>
      <c r="S17" s="191"/>
      <c r="T17" s="192" t="s">
        <v>1224</v>
      </c>
      <c r="U17" s="78"/>
      <c r="V17" s="78"/>
    </row>
    <row r="18" spans="1:22" hidden="1">
      <c r="A18" s="338" t="s">
        <v>265</v>
      </c>
      <c r="B18" s="338">
        <f>YEAR(tProjectsMaster212[[#This Row],[End Date]])</f>
        <v>2025</v>
      </c>
      <c r="C18" s="338" t="str">
        <f t="shared" ca="1" si="0"/>
        <v>CLOSED</v>
      </c>
      <c r="D18" s="55" t="s">
        <v>1212</v>
      </c>
      <c r="E18" s="338" t="s">
        <v>516</v>
      </c>
      <c r="F18" s="339" t="s">
        <v>1028</v>
      </c>
      <c r="G18" s="340" t="s">
        <v>264</v>
      </c>
      <c r="H18" s="340" t="s">
        <v>1225</v>
      </c>
      <c r="I18" s="185" t="s">
        <v>1155</v>
      </c>
      <c r="J18" s="478" t="s">
        <v>1209</v>
      </c>
      <c r="K18" s="341">
        <v>45985</v>
      </c>
      <c r="L18" s="341">
        <v>45992</v>
      </c>
      <c r="M18" s="341">
        <v>46022</v>
      </c>
      <c r="N18" s="342">
        <f>190000000*2</f>
        <v>380000000</v>
      </c>
      <c r="O18" s="342">
        <v>0</v>
      </c>
      <c r="P18" s="200">
        <v>0</v>
      </c>
      <c r="Q18" s="200"/>
      <c r="R18" s="207" t="e">
        <f>tProjectsMaster212[[#This Row],[Actual cost (admin)]]/tProjectsMaster212[[#This Row],[Costbased]]</f>
        <v>#DIV/0!</v>
      </c>
      <c r="S18" s="201"/>
      <c r="T18" s="192"/>
      <c r="U18" s="78"/>
      <c r="V18" s="78"/>
    </row>
    <row r="19" spans="1:22" hidden="1">
      <c r="A19" s="338" t="s">
        <v>265</v>
      </c>
      <c r="B19" s="338">
        <f>YEAR(tProjectsMaster212[[#This Row],[End Date]])</f>
        <v>2026</v>
      </c>
      <c r="C19" s="338" t="str">
        <f t="shared" ca="1" si="0"/>
        <v>CLOSED</v>
      </c>
      <c r="D19" s="55" t="s">
        <v>1212</v>
      </c>
      <c r="E19" s="338" t="s">
        <v>516</v>
      </c>
      <c r="F19" s="339" t="s">
        <v>1028</v>
      </c>
      <c r="G19" s="340" t="s">
        <v>264</v>
      </c>
      <c r="H19" s="340" t="s">
        <v>1225</v>
      </c>
      <c r="I19" s="185" t="s">
        <v>1155</v>
      </c>
      <c r="J19" s="478" t="s">
        <v>1209</v>
      </c>
      <c r="K19" s="341">
        <v>45985</v>
      </c>
      <c r="L19" s="341">
        <v>46023</v>
      </c>
      <c r="M19" s="341">
        <v>46173</v>
      </c>
      <c r="N19" s="193">
        <v>0</v>
      </c>
      <c r="O19" s="193">
        <v>336000000</v>
      </c>
      <c r="P19" s="200">
        <f>SUMIF('REALISASI 2026'!$C$7:$C$1048576,tProjectsMaster212[[#This Row],[Project_ID]],'REALISASI 2026'!$I$7:$I$1048576)</f>
        <v>0</v>
      </c>
      <c r="Q19" s="194">
        <v>297000000</v>
      </c>
      <c r="R19" s="195">
        <f>tProjectsMaster212[[#This Row],[Actual cost (admin)]]/tProjectsMaster212[[#This Row],[Costbased]]</f>
        <v>0.8839285714285714</v>
      </c>
      <c r="S19" s="201"/>
      <c r="T19" s="192"/>
      <c r="U19" s="78"/>
      <c r="V19" s="78"/>
    </row>
    <row r="20" spans="1:22" hidden="1">
      <c r="A20" s="55" t="s">
        <v>335</v>
      </c>
      <c r="B20" s="182">
        <f>YEAR(tProjectsMaster212[[#This Row],[End Date]])</f>
        <v>2026</v>
      </c>
      <c r="C20" s="55" t="str">
        <f t="shared" ca="1" si="0"/>
        <v>CLOSED</v>
      </c>
      <c r="D20" s="55"/>
      <c r="E20" s="55" t="s">
        <v>516</v>
      </c>
      <c r="F20" s="83" t="s">
        <v>860</v>
      </c>
      <c r="G20" s="350" t="s">
        <v>67</v>
      </c>
      <c r="H20" s="78" t="s">
        <v>1226</v>
      </c>
      <c r="I20" s="185" t="s">
        <v>1155</v>
      </c>
      <c r="J20" s="478" t="s">
        <v>1214</v>
      </c>
      <c r="K20" s="188">
        <v>46030</v>
      </c>
      <c r="L20" s="188">
        <v>46030</v>
      </c>
      <c r="M20" s="188">
        <v>46073</v>
      </c>
      <c r="N20" s="197">
        <f>157306838+120715256</f>
        <v>278022094</v>
      </c>
      <c r="O20" s="193">
        <v>228713674</v>
      </c>
      <c r="P20" s="199"/>
      <c r="Q20" s="202">
        <f>SUMIF('REALISASI 2026'!$C$7:$C$1048576,tProjectsMaster212[[#This Row],[Project_ID]],'REALISASI 2026'!$I$7:$I$1048576)</f>
        <v>93475716</v>
      </c>
      <c r="R20" s="207">
        <f>tProjectsMaster212[[#This Row],[Actual cost (admin)]]/tProjectsMaster212[[#This Row],[Costbased]]</f>
        <v>0.40870191259312288</v>
      </c>
      <c r="S20" s="203"/>
      <c r="T20" s="204"/>
      <c r="U20" s="183"/>
      <c r="V20" s="78"/>
    </row>
    <row r="21" spans="1:22">
      <c r="A21" s="55" t="s">
        <v>337</v>
      </c>
      <c r="B21" s="182">
        <f>YEAR(tProjectsMaster212[[#This Row],[End Date]])</f>
        <v>2026</v>
      </c>
      <c r="C21" s="55" t="str">
        <f t="shared" ca="1" si="0"/>
        <v>ON GOING</v>
      </c>
      <c r="D21" s="55"/>
      <c r="E21" s="55" t="s">
        <v>519</v>
      </c>
      <c r="F21" s="83" t="s">
        <v>860</v>
      </c>
      <c r="G21" s="350" t="s">
        <v>520</v>
      </c>
      <c r="H21" s="78" t="s">
        <v>1227</v>
      </c>
      <c r="I21" s="185" t="s">
        <v>1155</v>
      </c>
      <c r="J21" s="478"/>
      <c r="K21" s="187" t="s">
        <v>842</v>
      </c>
      <c r="L21" s="188">
        <v>46023</v>
      </c>
      <c r="M21" s="188">
        <v>46387</v>
      </c>
      <c r="N21" s="197">
        <v>311400178</v>
      </c>
      <c r="O21" s="193">
        <v>292835553</v>
      </c>
      <c r="P21" s="199"/>
      <c r="Q21" s="346">
        <f>SUMIF('REALISASI 2026'!$C$7:$C$1048576,tProjectsMaster212[[#This Row],[Project_ID]],'REALISASI 2026'!$I$7:$I$1048576)</f>
        <v>478000000</v>
      </c>
      <c r="R21" s="347">
        <f>tProjectsMaster212[[#This Row],[Actual cost (admin)]]/tProjectsMaster212[[#This Row],[Costbased]]</f>
        <v>1.6323154586355844</v>
      </c>
      <c r="S21" s="203"/>
      <c r="T21" s="204">
        <v>0.31190000000000001</v>
      </c>
      <c r="U21" s="183"/>
      <c r="V21" s="78"/>
    </row>
    <row r="22" spans="1:22">
      <c r="A22" s="55" t="s">
        <v>521</v>
      </c>
      <c r="B22" s="182">
        <f>YEAR(tProjectsMaster212[[#This Row],[End Date]])</f>
        <v>2026</v>
      </c>
      <c r="C22" s="55" t="str">
        <f t="shared" ca="1" si="0"/>
        <v>ON GOING</v>
      </c>
      <c r="D22" s="55"/>
      <c r="E22" s="55" t="s">
        <v>522</v>
      </c>
      <c r="F22" s="83" t="s">
        <v>860</v>
      </c>
      <c r="G22" s="350" t="s">
        <v>523</v>
      </c>
      <c r="H22" s="78" t="s">
        <v>1228</v>
      </c>
      <c r="I22" s="185" t="s">
        <v>1155</v>
      </c>
      <c r="J22" s="478"/>
      <c r="K22" s="187" t="s">
        <v>842</v>
      </c>
      <c r="L22" s="188">
        <v>46023</v>
      </c>
      <c r="M22" s="188">
        <v>46387</v>
      </c>
      <c r="N22" s="197">
        <v>206757730.25</v>
      </c>
      <c r="O22" s="193">
        <v>195054463</v>
      </c>
      <c r="P22" s="199"/>
      <c r="Q22" s="202">
        <f>SUMIF('REALISASI 2026'!$C$7:$C$1048576,tProjectsMaster212[[#This Row],[Project_ID]],'REALISASI 2026'!$I$7:$I$1048576)</f>
        <v>0</v>
      </c>
      <c r="R22" s="207">
        <f>tProjectsMaster212[[#This Row],[Actual cost (admin)]]/tProjectsMaster212[[#This Row],[Costbased]]</f>
        <v>0</v>
      </c>
      <c r="S22" s="203"/>
      <c r="T22" s="204">
        <v>0.32100000000000001</v>
      </c>
      <c r="U22" s="183"/>
      <c r="V22" s="78"/>
    </row>
    <row r="23" spans="1:22" hidden="1">
      <c r="A23" s="83" t="s">
        <v>680</v>
      </c>
      <c r="B23" s="182">
        <f>YEAR(tProjectsMaster212[[#This Row],[End Date]])</f>
        <v>2026</v>
      </c>
      <c r="C23" s="182" t="str">
        <f t="shared" ca="1" si="0"/>
        <v>CLOSED</v>
      </c>
      <c r="D23" s="182"/>
      <c r="E23" s="55" t="s">
        <v>1229</v>
      </c>
      <c r="F23" s="83" t="s">
        <v>860</v>
      </c>
      <c r="G23" s="198" t="s">
        <v>78</v>
      </c>
      <c r="H23" s="183" t="s">
        <v>1230</v>
      </c>
      <c r="I23" s="185" t="s">
        <v>1155</v>
      </c>
      <c r="J23" s="478" t="s">
        <v>1214</v>
      </c>
      <c r="K23" s="212">
        <v>46136</v>
      </c>
      <c r="L23" s="188">
        <v>46147</v>
      </c>
      <c r="M23" s="188">
        <v>46149</v>
      </c>
      <c r="N23" s="193">
        <v>45045045</v>
      </c>
      <c r="O23" s="193">
        <v>11500000</v>
      </c>
      <c r="P23" s="200"/>
      <c r="Q23" s="200">
        <f>SUMIF('REALISASI 2026'!$C$7:$C$1048576,tProjectsMaster212[[#This Row],[Project_ID]],'REALISASI 2026'!$I$7:$I$1048576)</f>
        <v>0</v>
      </c>
      <c r="R23" s="207">
        <f>tProjectsMaster212[[#This Row],[Actual cost (admin)]]/tProjectsMaster212[[#This Row],[Costbased]]</f>
        <v>0</v>
      </c>
      <c r="S23" s="201"/>
      <c r="T23" s="192"/>
      <c r="U23" s="78"/>
      <c r="V23" s="78"/>
    </row>
    <row r="24" spans="1:22" hidden="1">
      <c r="A24" s="55" t="s">
        <v>524</v>
      </c>
      <c r="B24" s="182">
        <f>YEAR(tProjectsMaster212[[#This Row],[End Date]])</f>
        <v>2026</v>
      </c>
      <c r="C24" s="55" t="str">
        <f t="shared" ca="1" si="0"/>
        <v>CLOSED</v>
      </c>
      <c r="D24" s="55"/>
      <c r="E24" s="55" t="s">
        <v>525</v>
      </c>
      <c r="F24" s="83" t="s">
        <v>860</v>
      </c>
      <c r="G24" s="350" t="s">
        <v>526</v>
      </c>
      <c r="H24" s="78" t="s">
        <v>1231</v>
      </c>
      <c r="I24" s="185" t="s">
        <v>1155</v>
      </c>
      <c r="J24" s="478" t="s">
        <v>1214</v>
      </c>
      <c r="K24" s="188">
        <v>45985</v>
      </c>
      <c r="L24" s="188">
        <v>45985</v>
      </c>
      <c r="M24" s="188">
        <v>46199</v>
      </c>
      <c r="N24" s="197">
        <v>933118522</v>
      </c>
      <c r="O24" s="193">
        <v>861775435</v>
      </c>
      <c r="P24" s="199"/>
      <c r="Q24" s="202">
        <f>SUMIF('REALISASI 2026'!$C$7:$C$1048576,tProjectsMaster212[[#This Row],[Project_ID]],'REALISASI 2026'!$I$7:$I$1048576)</f>
        <v>420742500</v>
      </c>
      <c r="R24" s="207">
        <f>tProjectsMaster212[[#This Row],[Actual cost (admin)]]/tProjectsMaster212[[#This Row],[Costbased]]</f>
        <v>0.48822753923126155</v>
      </c>
      <c r="S24" s="203"/>
      <c r="T24" s="204"/>
      <c r="U24" s="183"/>
      <c r="V24" s="78"/>
    </row>
    <row r="25" spans="1:22" hidden="1">
      <c r="A25" s="338" t="s">
        <v>528</v>
      </c>
      <c r="B25" s="338">
        <f>YEAR(tProjectsMaster212[[#This Row],[End Date]])</f>
        <v>2026</v>
      </c>
      <c r="C25" s="338" t="str">
        <f t="shared" ca="1" si="0"/>
        <v>CLOSED</v>
      </c>
      <c r="D25" s="55" t="s">
        <v>1232</v>
      </c>
      <c r="E25" s="338" t="s">
        <v>504</v>
      </c>
      <c r="F25" s="339" t="s">
        <v>860</v>
      </c>
      <c r="G25" s="78" t="s">
        <v>310</v>
      </c>
      <c r="H25" s="185" t="s">
        <v>1233</v>
      </c>
      <c r="I25" s="185" t="s">
        <v>1155</v>
      </c>
      <c r="J25" s="478" t="s">
        <v>1214</v>
      </c>
      <c r="K25" s="188">
        <v>46112</v>
      </c>
      <c r="L25" s="188">
        <v>46112</v>
      </c>
      <c r="M25" s="188">
        <v>46132</v>
      </c>
      <c r="N25" s="193">
        <v>58000000</v>
      </c>
      <c r="O25" s="193">
        <v>51875534</v>
      </c>
      <c r="P25" s="200">
        <f>SUMIF('REALISASI 2026'!$C$7:$C$1048576,tProjectsMaster212[[#This Row],[Project_ID]],'REALISASI 2026'!$I$7:$I$1048576)</f>
        <v>42402648</v>
      </c>
      <c r="Q25" s="194">
        <f>SUMIF('REALISASI 2026'!$C$7:$C$1048576,tProjectsMaster212[[#This Row],[Project_ID]],'REALISASI 2026'!$I$7:$I$1048576)</f>
        <v>42402648</v>
      </c>
      <c r="R25" s="195">
        <f>tProjectsMaster212[[#This Row],[Actual cost (admin)]]/tProjectsMaster212[[#This Row],[Costbased]]</f>
        <v>0.81739202915964204</v>
      </c>
      <c r="S25" s="191"/>
      <c r="T25" s="192"/>
      <c r="U25" s="78" t="s">
        <v>1234</v>
      </c>
      <c r="V25" s="78"/>
    </row>
    <row r="26" spans="1:22" hidden="1">
      <c r="A26" s="338" t="s">
        <v>530</v>
      </c>
      <c r="B26" s="338">
        <f>YEAR(tProjectsMaster212[[#This Row],[End Date]])</f>
        <v>2022</v>
      </c>
      <c r="C26" s="338" t="str">
        <f t="shared" ca="1" si="0"/>
        <v>CLOSED</v>
      </c>
      <c r="D26" s="55" t="s">
        <v>1212</v>
      </c>
      <c r="E26" s="338" t="s">
        <v>531</v>
      </c>
      <c r="F26" s="339" t="s">
        <v>1028</v>
      </c>
      <c r="G26" s="340" t="s">
        <v>532</v>
      </c>
      <c r="H26" s="349">
        <v>3900524630</v>
      </c>
      <c r="I26" s="185" t="s">
        <v>1155</v>
      </c>
      <c r="J26" s="478" t="s">
        <v>1209</v>
      </c>
      <c r="K26" s="345">
        <v>44866</v>
      </c>
      <c r="L26" s="341">
        <v>44866</v>
      </c>
      <c r="M26" s="341">
        <v>44926</v>
      </c>
      <c r="N26" s="351">
        <f>(419732500+89430000+76481636+641937420)*(2/7)</f>
        <v>350737587.4285714</v>
      </c>
      <c r="O26" s="352">
        <f>(506039000+73387500+75089771+642740600)*(2/7)</f>
        <v>370644820.28571427</v>
      </c>
      <c r="P26" s="213"/>
      <c r="Q26" s="206"/>
      <c r="R26" s="195">
        <f>tProjectsMaster212[[#This Row],[Actual cost (admin)]]/tProjectsMaster212[[#This Row],[Costbased]]</f>
        <v>0</v>
      </c>
      <c r="S26" s="330"/>
      <c r="T26" s="192"/>
      <c r="U26" s="78"/>
      <c r="V26" s="78"/>
    </row>
    <row r="27" spans="1:22" ht="27.6" hidden="1">
      <c r="A27" s="338" t="s">
        <v>530</v>
      </c>
      <c r="B27" s="338">
        <f>YEAR(tProjectsMaster212[[#This Row],[End Date]])</f>
        <v>2023</v>
      </c>
      <c r="C27" s="338" t="str">
        <f t="shared" ca="1" si="0"/>
        <v>CLOSED</v>
      </c>
      <c r="D27" s="55" t="s">
        <v>1212</v>
      </c>
      <c r="E27" s="338" t="s">
        <v>531</v>
      </c>
      <c r="F27" s="339" t="s">
        <v>1028</v>
      </c>
      <c r="G27" s="340" t="s">
        <v>532</v>
      </c>
      <c r="H27" s="349">
        <v>3900524630</v>
      </c>
      <c r="I27" s="185" t="s">
        <v>1155</v>
      </c>
      <c r="J27" s="478" t="s">
        <v>1209</v>
      </c>
      <c r="K27" s="345">
        <v>44866</v>
      </c>
      <c r="L27" s="341">
        <v>44927</v>
      </c>
      <c r="M27" s="341">
        <v>45291</v>
      </c>
      <c r="N27" s="351">
        <f>((419732500+89430000+76481636+641937420)*(5/7))+(3971003091*(7/36))</f>
        <v>1648983458.4880953</v>
      </c>
      <c r="O27" s="352">
        <f>((506039000+73387500+75089771+642740600)*(5/7))+((3454954006/36)*7)</f>
        <v>1598408662.9920635</v>
      </c>
      <c r="P27" s="197">
        <f>1158222690+425108449</f>
        <v>1583331139</v>
      </c>
      <c r="Q27" s="206"/>
      <c r="R27" s="195">
        <f>tProjectsMaster212[[#This Row],[Actual cost (admin)]]/tProjectsMaster212[[#This Row],[Costbased]]</f>
        <v>0</v>
      </c>
      <c r="S27" s="330" t="s">
        <v>1235</v>
      </c>
      <c r="T27" s="192"/>
      <c r="U27" s="78"/>
      <c r="V27" s="78"/>
    </row>
    <row r="28" spans="1:22" ht="27.6" hidden="1">
      <c r="A28" s="338" t="s">
        <v>530</v>
      </c>
      <c r="B28" s="338">
        <f>YEAR(tProjectsMaster212[[#This Row],[End Date]])</f>
        <v>2024</v>
      </c>
      <c r="C28" s="338" t="str">
        <f t="shared" ca="1" si="0"/>
        <v>CLOSED</v>
      </c>
      <c r="D28" s="55" t="s">
        <v>1212</v>
      </c>
      <c r="E28" s="338" t="s">
        <v>531</v>
      </c>
      <c r="F28" s="339" t="s">
        <v>1028</v>
      </c>
      <c r="G28" s="343" t="s">
        <v>532</v>
      </c>
      <c r="H28" s="349">
        <v>3900524630</v>
      </c>
      <c r="I28" s="185" t="s">
        <v>1155</v>
      </c>
      <c r="J28" s="478" t="s">
        <v>1209</v>
      </c>
      <c r="K28" s="345">
        <v>44866</v>
      </c>
      <c r="L28" s="341">
        <v>45292</v>
      </c>
      <c r="M28" s="341">
        <v>45657</v>
      </c>
      <c r="N28" s="352">
        <f>(3971003091/36)*12</f>
        <v>1323667697</v>
      </c>
      <c r="O28" s="352">
        <f>(3454954006/36)*12</f>
        <v>1151651335.3333333</v>
      </c>
      <c r="P28" s="197">
        <v>1041755827</v>
      </c>
      <c r="Q28" s="206"/>
      <c r="R28" s="195">
        <f>tProjectsMaster212[[#This Row],[Actual cost (admin)]]/tProjectsMaster212[[#This Row],[Costbased]]</f>
        <v>0</v>
      </c>
      <c r="S28" s="330" t="s">
        <v>1235</v>
      </c>
      <c r="T28" s="192"/>
      <c r="U28" s="78"/>
      <c r="V28" s="78"/>
    </row>
    <row r="29" spans="1:22" ht="41.4" hidden="1">
      <c r="A29" s="338" t="s">
        <v>530</v>
      </c>
      <c r="B29" s="338">
        <f>YEAR(tProjectsMaster212[[#This Row],[End Date]])</f>
        <v>2025</v>
      </c>
      <c r="C29" s="338" t="str">
        <f t="shared" ca="1" si="0"/>
        <v>CLOSED</v>
      </c>
      <c r="D29" s="55" t="s">
        <v>1212</v>
      </c>
      <c r="E29" s="338" t="s">
        <v>531</v>
      </c>
      <c r="F29" s="339" t="s">
        <v>1028</v>
      </c>
      <c r="G29" s="343" t="s">
        <v>532</v>
      </c>
      <c r="H29" s="349">
        <v>3900524630</v>
      </c>
      <c r="I29" s="185" t="s">
        <v>1155</v>
      </c>
      <c r="J29" s="478" t="s">
        <v>1209</v>
      </c>
      <c r="K29" s="345">
        <v>44866</v>
      </c>
      <c r="L29" s="341">
        <v>45658</v>
      </c>
      <c r="M29" s="341">
        <v>46022</v>
      </c>
      <c r="N29" s="352">
        <f>(3971003091/36)*12</f>
        <v>1323667697</v>
      </c>
      <c r="O29" s="352">
        <f>(3454954006/36)*12</f>
        <v>1151651335.3333333</v>
      </c>
      <c r="P29" s="197">
        <v>1078919563</v>
      </c>
      <c r="Q29" s="206"/>
      <c r="R29" s="195">
        <f>tProjectsMaster212[[#This Row],[Actual cost (admin)]]/tProjectsMaster212[[#This Row],[Costbased]]</f>
        <v>0</v>
      </c>
      <c r="S29" s="330" t="s">
        <v>1236</v>
      </c>
      <c r="T29" s="192"/>
      <c r="U29" s="78"/>
      <c r="V29" s="78"/>
    </row>
    <row r="30" spans="1:22" ht="41.4" hidden="1">
      <c r="A30" s="338" t="s">
        <v>530</v>
      </c>
      <c r="B30" s="338">
        <f>YEAR(tProjectsMaster212[[#This Row],[End Date]])</f>
        <v>2026</v>
      </c>
      <c r="C30" s="338" t="str">
        <f t="shared" ca="1" si="0"/>
        <v>ON GOING</v>
      </c>
      <c r="D30" s="55" t="s">
        <v>1212</v>
      </c>
      <c r="E30" s="338" t="s">
        <v>531</v>
      </c>
      <c r="F30" s="338" t="s">
        <v>1028</v>
      </c>
      <c r="G30" s="343" t="s">
        <v>532</v>
      </c>
      <c r="H30" s="349">
        <v>3900524630</v>
      </c>
      <c r="I30" s="185" t="s">
        <v>1155</v>
      </c>
      <c r="J30" s="478" t="s">
        <v>1209</v>
      </c>
      <c r="K30" s="345">
        <v>44866</v>
      </c>
      <c r="L30" s="341">
        <v>46023</v>
      </c>
      <c r="M30" s="329">
        <v>46387</v>
      </c>
      <c r="N30" s="352">
        <f>(3971003091/36)*12</f>
        <v>1323667697</v>
      </c>
      <c r="O30" s="189">
        <f>(3454954006/36)*12</f>
        <v>1151651335.3333333</v>
      </c>
      <c r="P30" s="200">
        <f>SUMIF('REALISASI 2026'!$C$7:$C$1048576,tProjectsMaster212[[#This Row],[Project_ID]],'REALISASI 2026'!$I$7:$I$1048576)</f>
        <v>465122754</v>
      </c>
      <c r="Q30" s="194">
        <f>SUMIF('REALISASI 2026'!$C$7:$C$1048576,tProjectsMaster212[[#This Row],[Project_ID]],'REALISASI 2026'!$I$7:$I$1048576)</f>
        <v>465122754</v>
      </c>
      <c r="R30" s="195">
        <f>tProjectsMaster212[[#This Row],[Actual cost (admin)]]/tProjectsMaster212[[#This Row],[Costbased]]</f>
        <v>0.40387462744127778</v>
      </c>
      <c r="S30" s="330" t="s">
        <v>1236</v>
      </c>
      <c r="T30" s="192"/>
      <c r="U30" s="78"/>
      <c r="V30" s="78"/>
    </row>
    <row r="31" spans="1:22" ht="55.2" hidden="1">
      <c r="A31" s="338" t="s">
        <v>530</v>
      </c>
      <c r="B31" s="338">
        <f>YEAR(tProjectsMaster212[[#This Row],[End Date]])</f>
        <v>2027</v>
      </c>
      <c r="C31" s="338" t="str">
        <f t="shared" ca="1" si="0"/>
        <v>FUTURE</v>
      </c>
      <c r="D31" s="55"/>
      <c r="E31" s="338" t="s">
        <v>531</v>
      </c>
      <c r="F31" s="338" t="s">
        <v>1028</v>
      </c>
      <c r="G31" s="343" t="s">
        <v>532</v>
      </c>
      <c r="H31" s="349">
        <v>3900524630</v>
      </c>
      <c r="I31" s="185" t="s">
        <v>1155</v>
      </c>
      <c r="J31" s="478" t="s">
        <v>1209</v>
      </c>
      <c r="K31" s="345">
        <v>44866</v>
      </c>
      <c r="L31" s="341">
        <v>46388</v>
      </c>
      <c r="M31" s="329">
        <v>46538</v>
      </c>
      <c r="N31" s="189">
        <f>(3971003091*(5/36))</f>
        <v>551528207.08333337</v>
      </c>
      <c r="O31" s="189">
        <f>(3454954006/36)*5</f>
        <v>479854723.05555552</v>
      </c>
      <c r="P31" s="200"/>
      <c r="Q31" s="194"/>
      <c r="R31" s="195">
        <f>tProjectsMaster212[[#This Row],[Actual cost (admin)]]/tProjectsMaster212[[#This Row],[Costbased]]</f>
        <v>0</v>
      </c>
      <c r="S31" s="330" t="s">
        <v>1237</v>
      </c>
      <c r="T31" s="192"/>
      <c r="U31" s="78"/>
      <c r="V31" s="78"/>
    </row>
    <row r="32" spans="1:22" hidden="1">
      <c r="A32" s="338" t="s">
        <v>534</v>
      </c>
      <c r="B32" s="338">
        <f>YEAR(tProjectsMaster212[[#This Row],[End Date]])</f>
        <v>2024</v>
      </c>
      <c r="C32" s="338" t="str">
        <f t="shared" ca="1" si="0"/>
        <v>CLOSED</v>
      </c>
      <c r="D32" s="55" t="s">
        <v>1208</v>
      </c>
      <c r="E32" s="338" t="s">
        <v>535</v>
      </c>
      <c r="F32" s="339" t="s">
        <v>1028</v>
      </c>
      <c r="G32" s="340" t="s">
        <v>500</v>
      </c>
      <c r="H32" s="340" t="s">
        <v>1238</v>
      </c>
      <c r="I32" s="185" t="s">
        <v>1155</v>
      </c>
      <c r="J32" s="478" t="s">
        <v>1209</v>
      </c>
      <c r="K32" s="341">
        <v>45454</v>
      </c>
      <c r="L32" s="341">
        <v>45455</v>
      </c>
      <c r="M32" s="341">
        <v>45657</v>
      </c>
      <c r="N32" s="342">
        <v>1788000</v>
      </c>
      <c r="O32" s="342">
        <v>0</v>
      </c>
      <c r="P32" s="200">
        <v>0</v>
      </c>
      <c r="Q32" s="190">
        <v>0</v>
      </c>
      <c r="R32" s="195" t="e">
        <f>tProjectsMaster212[[#This Row],[Actual cost (admin)]]/tProjectsMaster212[[#This Row],[Costbased]]</f>
        <v>#DIV/0!</v>
      </c>
      <c r="S32" s="191" t="s">
        <v>1239</v>
      </c>
      <c r="T32" s="192"/>
      <c r="U32" s="78"/>
      <c r="V32" s="78"/>
    </row>
    <row r="33" spans="1:22" hidden="1">
      <c r="A33" s="338" t="s">
        <v>534</v>
      </c>
      <c r="B33" s="338">
        <f>YEAR(tProjectsMaster212[[#This Row],[End Date]])</f>
        <v>2025</v>
      </c>
      <c r="C33" s="338" t="str">
        <f t="shared" ca="1" si="0"/>
        <v>CLOSED</v>
      </c>
      <c r="D33" s="55" t="s">
        <v>1208</v>
      </c>
      <c r="E33" s="338" t="s">
        <v>535</v>
      </c>
      <c r="F33" s="339" t="s">
        <v>1028</v>
      </c>
      <c r="G33" s="340" t="s">
        <v>500</v>
      </c>
      <c r="H33" s="340" t="s">
        <v>1238</v>
      </c>
      <c r="I33" s="185" t="s">
        <v>1155</v>
      </c>
      <c r="J33" s="478" t="s">
        <v>1209</v>
      </c>
      <c r="K33" s="341">
        <v>45454</v>
      </c>
      <c r="L33" s="341">
        <v>45658</v>
      </c>
      <c r="M33" s="341">
        <v>46022</v>
      </c>
      <c r="N33" s="342">
        <v>3576000</v>
      </c>
      <c r="O33" s="342">
        <v>3840000</v>
      </c>
      <c r="P33" s="197">
        <f>3840000</f>
        <v>3840000</v>
      </c>
      <c r="Q33" s="206">
        <v>0</v>
      </c>
      <c r="R33" s="195">
        <f>tProjectsMaster212[[#This Row],[Actual cost (admin)]]/tProjectsMaster212[[#This Row],[Costbased]]</f>
        <v>0</v>
      </c>
      <c r="S33" s="191" t="s">
        <v>1239</v>
      </c>
      <c r="T33" s="192"/>
      <c r="U33" s="78"/>
      <c r="V33" s="78"/>
    </row>
    <row r="34" spans="1:22" hidden="1">
      <c r="A34" s="55" t="s">
        <v>534</v>
      </c>
      <c r="B34" s="55">
        <f>YEAR(tProjectsMaster212[[#This Row],[End Date]])</f>
        <v>2026</v>
      </c>
      <c r="C34" s="55" t="str">
        <f t="shared" ca="1" si="0"/>
        <v>CLOSED</v>
      </c>
      <c r="D34" s="55" t="s">
        <v>1208</v>
      </c>
      <c r="E34" s="55" t="s">
        <v>535</v>
      </c>
      <c r="F34" s="83" t="s">
        <v>1028</v>
      </c>
      <c r="G34" s="78" t="s">
        <v>500</v>
      </c>
      <c r="H34" s="78" t="s">
        <v>1238</v>
      </c>
      <c r="I34" s="185" t="s">
        <v>1155</v>
      </c>
      <c r="J34" s="478" t="s">
        <v>1209</v>
      </c>
      <c r="K34" s="188">
        <v>45454</v>
      </c>
      <c r="L34" s="188">
        <v>46023</v>
      </c>
      <c r="M34" s="187">
        <v>46234</v>
      </c>
      <c r="N34" s="189">
        <f>1788000+298000</f>
        <v>2086000</v>
      </c>
      <c r="O34" s="189">
        <f>4000*40</f>
        <v>160000</v>
      </c>
      <c r="P34" s="200">
        <f>SUMIF('REALISASI 2026'!$C$7:$C$1048576,tProjectsMaster212[[#This Row],[Project_ID]],'REALISASI 2026'!$I$7:$I$1048576)</f>
        <v>2160000</v>
      </c>
      <c r="Q34" s="202">
        <f>SUMIF('REALISASI 2026'!$C$7:$C$1048576,tProjectsMaster212[[#This Row],[Project_ID]],'REALISASI 2026'!$I$7:$I$1048576)</f>
        <v>2160000</v>
      </c>
      <c r="R34" s="207">
        <f>tProjectsMaster212[[#This Row],[Actual cost (admin)]]/tProjectsMaster212[[#This Row],[Costbased]]</f>
        <v>13.5</v>
      </c>
      <c r="S34" s="191" t="s">
        <v>1239</v>
      </c>
      <c r="T34" s="192"/>
      <c r="U34" s="78"/>
      <c r="V34" s="78"/>
    </row>
    <row r="35" spans="1:22">
      <c r="A35" s="338" t="s">
        <v>413</v>
      </c>
      <c r="B35" s="338">
        <f>YEAR(tProjectsMaster212[[#This Row],[End Date]])</f>
        <v>2023</v>
      </c>
      <c r="C35" s="338" t="str">
        <f t="shared" ref="C35:C66" ca="1" si="1">IF(L35&gt;TODAY(),"FUTURE",IF(M35&gt;TODAY(),"ON GOING","CLOSED"))</f>
        <v>CLOSED</v>
      </c>
      <c r="D35" s="55"/>
      <c r="E35" s="338" t="s">
        <v>510</v>
      </c>
      <c r="F35" s="339" t="s">
        <v>1028</v>
      </c>
      <c r="G35" s="340" t="s">
        <v>537</v>
      </c>
      <c r="H35" s="340">
        <v>4650002171</v>
      </c>
      <c r="I35" s="185" t="s">
        <v>1155</v>
      </c>
      <c r="J35" s="478" t="s">
        <v>1214</v>
      </c>
      <c r="K35" s="345">
        <v>45103</v>
      </c>
      <c r="L35" s="341">
        <v>45078</v>
      </c>
      <c r="M35" s="341">
        <v>45291</v>
      </c>
      <c r="N35" s="342">
        <f xml:space="preserve"> 904587350 * 6</f>
        <v>5427524100</v>
      </c>
      <c r="O35" s="342">
        <f>10460864372/12*6</f>
        <v>5230432186</v>
      </c>
      <c r="P35" s="200"/>
      <c r="Q35" s="190"/>
      <c r="R35" s="195">
        <f>tProjectsMaster212[[#This Row],[Actual cost (admin)]]/tProjectsMaster212[[#This Row],[Costbased]]</f>
        <v>0</v>
      </c>
      <c r="S35" s="191"/>
      <c r="T35" s="192" t="s">
        <v>833</v>
      </c>
      <c r="U35" s="78"/>
      <c r="V35" s="78"/>
    </row>
    <row r="36" spans="1:22">
      <c r="A36" s="338" t="s">
        <v>413</v>
      </c>
      <c r="B36" s="338">
        <f>YEAR(tProjectsMaster212[[#This Row],[End Date]])</f>
        <v>2024</v>
      </c>
      <c r="C36" s="338" t="str">
        <f t="shared" ca="1" si="1"/>
        <v>CLOSED</v>
      </c>
      <c r="D36" s="55"/>
      <c r="E36" s="338" t="s">
        <v>510</v>
      </c>
      <c r="F36" s="339" t="s">
        <v>1028</v>
      </c>
      <c r="G36" s="340" t="s">
        <v>537</v>
      </c>
      <c r="H36" s="340">
        <v>4650002171</v>
      </c>
      <c r="I36" s="185" t="s">
        <v>1155</v>
      </c>
      <c r="J36" s="478" t="s">
        <v>1214</v>
      </c>
      <c r="K36" s="345">
        <v>45103</v>
      </c>
      <c r="L36" s="341">
        <v>45292</v>
      </c>
      <c r="M36" s="341">
        <v>45657</v>
      </c>
      <c r="N36" s="342">
        <f xml:space="preserve"> 904587350 * 12</f>
        <v>10855048200</v>
      </c>
      <c r="O36" s="342">
        <v>10460864372</v>
      </c>
      <c r="P36" s="200"/>
      <c r="Q36" s="190"/>
      <c r="R36" s="195">
        <f>tProjectsMaster212[[#This Row],[Actual cost (admin)]]/tProjectsMaster212[[#This Row],[Costbased]]</f>
        <v>0</v>
      </c>
      <c r="S36" s="191"/>
      <c r="T36" s="192" t="s">
        <v>833</v>
      </c>
      <c r="U36" s="78"/>
      <c r="V36" s="78"/>
    </row>
    <row r="37" spans="1:22">
      <c r="A37" s="338" t="s">
        <v>413</v>
      </c>
      <c r="B37" s="338">
        <f>YEAR(tProjectsMaster212[[#This Row],[End Date]])</f>
        <v>2025</v>
      </c>
      <c r="C37" s="338" t="str">
        <f t="shared" ca="1" si="1"/>
        <v>CLOSED</v>
      </c>
      <c r="D37" s="55"/>
      <c r="E37" s="338" t="s">
        <v>510</v>
      </c>
      <c r="F37" s="339" t="s">
        <v>1028</v>
      </c>
      <c r="G37" s="340" t="s">
        <v>537</v>
      </c>
      <c r="H37" s="340">
        <v>4650002171</v>
      </c>
      <c r="I37" s="185" t="s">
        <v>1155</v>
      </c>
      <c r="J37" s="478" t="s">
        <v>1214</v>
      </c>
      <c r="K37" s="345">
        <v>45103</v>
      </c>
      <c r="L37" s="341">
        <v>45658</v>
      </c>
      <c r="M37" s="341">
        <v>46022</v>
      </c>
      <c r="N37" s="342">
        <f xml:space="preserve"> 904587350 * 12</f>
        <v>10855048200</v>
      </c>
      <c r="O37" s="342">
        <f>10460864372</f>
        <v>10460864372</v>
      </c>
      <c r="P37" s="200"/>
      <c r="Q37" s="190"/>
      <c r="R37" s="195">
        <f>tProjectsMaster212[[#This Row],[Actual cost (admin)]]/tProjectsMaster212[[#This Row],[Costbased]]</f>
        <v>0</v>
      </c>
      <c r="S37" s="191"/>
      <c r="T37" s="192" t="s">
        <v>833</v>
      </c>
      <c r="U37" s="78"/>
      <c r="V37" s="78"/>
    </row>
    <row r="38" spans="1:22">
      <c r="A38" s="182" t="s">
        <v>413</v>
      </c>
      <c r="B38" s="55">
        <f>YEAR(tProjectsMaster212[[#This Row],[End Date]])</f>
        <v>2026</v>
      </c>
      <c r="C38" s="55" t="str">
        <f t="shared" ca="1" si="1"/>
        <v>CLOSED</v>
      </c>
      <c r="D38" s="55"/>
      <c r="E38" s="55" t="s">
        <v>510</v>
      </c>
      <c r="F38" s="83" t="s">
        <v>1028</v>
      </c>
      <c r="G38" s="78" t="s">
        <v>537</v>
      </c>
      <c r="H38" s="78">
        <v>4650002171</v>
      </c>
      <c r="I38" s="185" t="s">
        <v>1155</v>
      </c>
      <c r="J38" s="478" t="s">
        <v>1214</v>
      </c>
      <c r="K38" s="208">
        <v>45103</v>
      </c>
      <c r="L38" s="188">
        <v>46023</v>
      </c>
      <c r="M38" s="188">
        <v>46203</v>
      </c>
      <c r="N38" s="193">
        <f xml:space="preserve"> 904587350 * 6</f>
        <v>5427524100</v>
      </c>
      <c r="O38" s="193">
        <f>10460864372/12*6</f>
        <v>5230432186</v>
      </c>
      <c r="P38" s="200">
        <f>SUMIF('REALISASI 2026'!$C$7:$C$1048576,tProjectsMaster212[[#This Row],[Project_ID]],'REALISASI 2026'!$I$7:$I$1048576)</f>
        <v>5844708067</v>
      </c>
      <c r="Q38" s="202">
        <f>SUMIF('REALISASI 2026'!$C$7:$C$1048576,tProjectsMaster212[[#This Row],[Project_ID]],'REALISASI 2026'!$I$7:$I$1048576)</f>
        <v>5844708067</v>
      </c>
      <c r="R38" s="207">
        <f>tProjectsMaster212[[#This Row],[Actual cost (admin)]]/tProjectsMaster212[[#This Row],[Costbased]]</f>
        <v>1.1174426623184595</v>
      </c>
      <c r="S38" s="191"/>
      <c r="T38" s="192" t="s">
        <v>833</v>
      </c>
      <c r="U38" s="78"/>
      <c r="V38" s="78"/>
    </row>
    <row r="39" spans="1:22">
      <c r="A39" s="338" t="s">
        <v>539</v>
      </c>
      <c r="B39" s="338">
        <f>YEAR(tProjectsMaster212[[#This Row],[End Date]])</f>
        <v>2025</v>
      </c>
      <c r="C39" s="338" t="str">
        <f t="shared" ca="1" si="1"/>
        <v>CLOSED</v>
      </c>
      <c r="D39" s="55" t="s">
        <v>1212</v>
      </c>
      <c r="E39" s="338" t="s">
        <v>540</v>
      </c>
      <c r="F39" s="339" t="s">
        <v>1028</v>
      </c>
      <c r="G39" s="353" t="s">
        <v>249</v>
      </c>
      <c r="H39" s="354" t="s">
        <v>1240</v>
      </c>
      <c r="I39" s="185" t="s">
        <v>1155</v>
      </c>
      <c r="J39" s="478" t="s">
        <v>1214</v>
      </c>
      <c r="K39" s="341">
        <v>45729</v>
      </c>
      <c r="L39" s="341">
        <v>45782</v>
      </c>
      <c r="M39" s="341">
        <v>46022</v>
      </c>
      <c r="N39" s="342">
        <f>131992000+14970000</f>
        <v>146962000</v>
      </c>
      <c r="O39" s="342">
        <f>11637000+110062312</f>
        <v>121699312</v>
      </c>
      <c r="P39" s="197"/>
      <c r="Q39" s="197"/>
      <c r="R39" s="207">
        <f>tProjectsMaster212[[#This Row],[Actual cost (admin)]]/tProjectsMaster212[[#This Row],[Costbased]]</f>
        <v>0</v>
      </c>
      <c r="S39" s="196"/>
      <c r="T39" s="192">
        <v>0.4</v>
      </c>
      <c r="U39" s="78"/>
      <c r="V39" s="78"/>
    </row>
    <row r="40" spans="1:22">
      <c r="A40" s="55" t="s">
        <v>539</v>
      </c>
      <c r="B40" s="55">
        <f>YEAR(tProjectsMaster212[[#This Row],[End Date]])</f>
        <v>2026</v>
      </c>
      <c r="C40" s="55" t="str">
        <f t="shared" ca="1" si="1"/>
        <v>CLOSED</v>
      </c>
      <c r="D40" s="55" t="s">
        <v>1212</v>
      </c>
      <c r="E40" s="55" t="s">
        <v>540</v>
      </c>
      <c r="F40" s="83" t="s">
        <v>1028</v>
      </c>
      <c r="G40" s="209" t="s">
        <v>249</v>
      </c>
      <c r="H40" s="196" t="s">
        <v>1240</v>
      </c>
      <c r="I40" s="185" t="s">
        <v>1155</v>
      </c>
      <c r="J40" s="478" t="s">
        <v>1214</v>
      </c>
      <c r="K40" s="188">
        <v>45729</v>
      </c>
      <c r="L40" s="188">
        <v>46023</v>
      </c>
      <c r="M40" s="188">
        <v>46238</v>
      </c>
      <c r="N40" s="193">
        <v>65996000</v>
      </c>
      <c r="O40" s="193">
        <f>55031156</f>
        <v>55031156</v>
      </c>
      <c r="P40" s="200">
        <f>SUMIF('REALISASI 2026'!$C$7:$C$1048576,tProjectsMaster212[[#This Row],[Project_ID]],'REALISASI 2026'!$I$7:$I$1048576)</f>
        <v>30937554</v>
      </c>
      <c r="Q40" s="202">
        <f>SUMIF('REALISASI 2026'!$C$7:$C$1048576,tProjectsMaster212[[#This Row],[Project_ID]],'REALISASI 2026'!$I$7:$I$1048576)</f>
        <v>30937554</v>
      </c>
      <c r="R40" s="207">
        <f>tProjectsMaster212[[#This Row],[Actual cost (admin)]]/tProjectsMaster212[[#This Row],[Costbased]]</f>
        <v>0.56218252075242614</v>
      </c>
      <c r="S40" s="196"/>
      <c r="T40" s="192">
        <v>0.4</v>
      </c>
      <c r="U40" s="78"/>
      <c r="V40" s="78"/>
    </row>
    <row r="41" spans="1:22">
      <c r="A41" s="338" t="s">
        <v>542</v>
      </c>
      <c r="B41" s="338">
        <f>YEAR(tProjectsMaster212[[#This Row],[End Date]])</f>
        <v>2024</v>
      </c>
      <c r="C41" s="338" t="str">
        <f t="shared" ca="1" si="1"/>
        <v>CLOSED</v>
      </c>
      <c r="D41" s="55" t="s">
        <v>1241</v>
      </c>
      <c r="E41" s="338" t="s">
        <v>543</v>
      </c>
      <c r="F41" s="339" t="s">
        <v>1221</v>
      </c>
      <c r="G41" s="340" t="s">
        <v>544</v>
      </c>
      <c r="H41" s="340" t="s">
        <v>1242</v>
      </c>
      <c r="I41" s="355" t="s">
        <v>435</v>
      </c>
      <c r="J41" s="479" t="s">
        <v>1209</v>
      </c>
      <c r="K41" s="341">
        <v>45516</v>
      </c>
      <c r="L41" s="341">
        <v>45516</v>
      </c>
      <c r="M41" s="341">
        <v>45657</v>
      </c>
      <c r="N41" s="342">
        <f>308860000*(1/8)</f>
        <v>38607500</v>
      </c>
      <c r="O41" s="352">
        <f>308860000*(1/8)</f>
        <v>38607500</v>
      </c>
      <c r="P41" s="197">
        <f>2*16000000</f>
        <v>32000000</v>
      </c>
      <c r="Q41" s="206"/>
      <c r="R41" s="195">
        <f>tProjectsMaster212[[#This Row],[Actual cost (admin)]]/tProjectsMaster212[[#This Row],[Costbased]]</f>
        <v>0</v>
      </c>
      <c r="S41" s="196"/>
      <c r="T41" s="192">
        <v>0.89229999999999998</v>
      </c>
      <c r="U41" s="55"/>
      <c r="V41" s="78"/>
    </row>
    <row r="42" spans="1:22">
      <c r="A42" s="338" t="s">
        <v>542</v>
      </c>
      <c r="B42" s="338">
        <f>YEAR(tProjectsMaster212[[#This Row],[End Date]])</f>
        <v>2025</v>
      </c>
      <c r="C42" s="338" t="str">
        <f t="shared" ca="1" si="1"/>
        <v>CLOSED</v>
      </c>
      <c r="D42" s="55" t="s">
        <v>1241</v>
      </c>
      <c r="E42" s="338" t="s">
        <v>543</v>
      </c>
      <c r="F42" s="339" t="s">
        <v>1221</v>
      </c>
      <c r="G42" s="340" t="s">
        <v>544</v>
      </c>
      <c r="H42" s="340" t="s">
        <v>1242</v>
      </c>
      <c r="I42" s="355" t="s">
        <v>435</v>
      </c>
      <c r="J42" s="479" t="s">
        <v>1209</v>
      </c>
      <c r="K42" s="341">
        <v>45516</v>
      </c>
      <c r="L42" s="341">
        <v>45658</v>
      </c>
      <c r="M42" s="341">
        <v>46022</v>
      </c>
      <c r="N42" s="342">
        <f>308860000*(4/8)</f>
        <v>154430000</v>
      </c>
      <c r="O42" s="352">
        <f>308860000*(4/8)</f>
        <v>154430000</v>
      </c>
      <c r="P42" s="197">
        <f>2*16000000</f>
        <v>32000000</v>
      </c>
      <c r="Q42" s="206"/>
      <c r="R42" s="195">
        <f>tProjectsMaster212[[#This Row],[Actual cost (admin)]]/tProjectsMaster212[[#This Row],[Costbased]]</f>
        <v>0</v>
      </c>
      <c r="S42" s="196"/>
      <c r="T42" s="192">
        <v>0.89229999999999998</v>
      </c>
      <c r="U42" s="55"/>
      <c r="V42" s="78"/>
    </row>
    <row r="43" spans="1:22">
      <c r="A43" s="182" t="s">
        <v>542</v>
      </c>
      <c r="B43" s="55">
        <f>YEAR(tProjectsMaster212[[#This Row],[End Date]])</f>
        <v>2026</v>
      </c>
      <c r="C43" s="55" t="str">
        <f t="shared" ca="1" si="1"/>
        <v>CLOSED</v>
      </c>
      <c r="D43" s="55" t="s">
        <v>1241</v>
      </c>
      <c r="E43" s="55" t="s">
        <v>543</v>
      </c>
      <c r="F43" s="83" t="s">
        <v>1221</v>
      </c>
      <c r="G43" s="78" t="s">
        <v>544</v>
      </c>
      <c r="H43" s="78" t="s">
        <v>1242</v>
      </c>
      <c r="I43" s="210" t="s">
        <v>435</v>
      </c>
      <c r="J43" s="479" t="s">
        <v>1209</v>
      </c>
      <c r="K43" s="188">
        <v>45516</v>
      </c>
      <c r="L43" s="188">
        <v>46023</v>
      </c>
      <c r="M43" s="188">
        <v>46245</v>
      </c>
      <c r="N43" s="193">
        <f>308860000*(3/8)</f>
        <v>115822500</v>
      </c>
      <c r="O43" s="189">
        <f>308860000*(3/8)</f>
        <v>115822500</v>
      </c>
      <c r="P43" s="200">
        <f>SUMIF('REALISASI 2026'!$C$7:$C$1048576,tProjectsMaster212[[#This Row],[Project_ID]],'REALISASI 2026'!$I$7:$I$1048576)</f>
        <v>0</v>
      </c>
      <c r="Q43" s="202">
        <f>SUMIF('REALISASI 2026'!$C$7:$C$1048576,tProjectsMaster212[[#This Row],[Project_ID]],'REALISASI 2026'!$I$7:$I$1048576)</f>
        <v>0</v>
      </c>
      <c r="R43" s="207">
        <f>tProjectsMaster212[[#This Row],[Actual cost (admin)]]/tProjectsMaster212[[#This Row],[Costbased]]</f>
        <v>0</v>
      </c>
      <c r="S43" s="191"/>
      <c r="T43" s="192">
        <v>0.89229999999999998</v>
      </c>
      <c r="U43" s="55"/>
      <c r="V43" s="78"/>
    </row>
    <row r="44" spans="1:22" hidden="1">
      <c r="A44" s="338" t="s">
        <v>546</v>
      </c>
      <c r="B44" s="338">
        <f>YEAR(tProjectsMaster212[[#This Row],[End Date]])</f>
        <v>2025</v>
      </c>
      <c r="C44" s="338" t="str">
        <f t="shared" ca="1" si="1"/>
        <v>CLOSED</v>
      </c>
      <c r="D44" s="55" t="s">
        <v>390</v>
      </c>
      <c r="E44" s="338" t="s">
        <v>513</v>
      </c>
      <c r="F44" s="339" t="s">
        <v>1028</v>
      </c>
      <c r="G44" s="340" t="s">
        <v>547</v>
      </c>
      <c r="H44" s="340" t="s">
        <v>1243</v>
      </c>
      <c r="I44" s="185" t="s">
        <v>1155</v>
      </c>
      <c r="J44" s="478" t="s">
        <v>1209</v>
      </c>
      <c r="K44" s="341">
        <v>45889</v>
      </c>
      <c r="L44" s="341">
        <v>45901</v>
      </c>
      <c r="M44" s="341">
        <v>46022</v>
      </c>
      <c r="N44" s="342">
        <f>(36288000/12)*4</f>
        <v>12096000</v>
      </c>
      <c r="O44" s="202">
        <f>27189120</f>
        <v>27189120</v>
      </c>
      <c r="P44" s="200">
        <f>(21878400/12)*4</f>
        <v>7292800</v>
      </c>
      <c r="Q44" s="190"/>
      <c r="R44" s="195">
        <f>tProjectsMaster212[[#This Row],[Actual cost (admin)]]/tProjectsMaster212[[#This Row],[Costbased]]</f>
        <v>0</v>
      </c>
      <c r="S44" s="78"/>
      <c r="T44" s="192"/>
      <c r="U44" s="78"/>
      <c r="V44" s="78"/>
    </row>
    <row r="45" spans="1:22" hidden="1">
      <c r="A45" s="55" t="s">
        <v>546</v>
      </c>
      <c r="B45" s="55">
        <f>YEAR(tProjectsMaster212[[#This Row],[End Date]])</f>
        <v>2026</v>
      </c>
      <c r="C45" s="55" t="str">
        <f t="shared" ca="1" si="1"/>
        <v>ON GOING</v>
      </c>
      <c r="D45" s="55" t="s">
        <v>390</v>
      </c>
      <c r="E45" s="55" t="s">
        <v>513</v>
      </c>
      <c r="F45" s="83" t="s">
        <v>1028</v>
      </c>
      <c r="G45" s="78" t="s">
        <v>547</v>
      </c>
      <c r="H45" s="78" t="s">
        <v>1243</v>
      </c>
      <c r="I45" s="185" t="s">
        <v>1155</v>
      </c>
      <c r="J45" s="478" t="s">
        <v>1209</v>
      </c>
      <c r="K45" s="188">
        <v>45889</v>
      </c>
      <c r="L45" s="188">
        <v>46023</v>
      </c>
      <c r="M45" s="188">
        <v>46265</v>
      </c>
      <c r="N45" s="193">
        <f>(36288000/12)*8</f>
        <v>24192000</v>
      </c>
      <c r="O45" s="200">
        <v>0</v>
      </c>
      <c r="P45" s="200">
        <f>(21878400/12)*8</f>
        <v>14585600</v>
      </c>
      <c r="Q45" s="202">
        <f>SUMIF('REALISASI 2026'!$C$7:$C$1048576,tProjectsMaster212[[#This Row],[Project_ID]],'REALISASI 2026'!$I$7:$I$1048576)</f>
        <v>0</v>
      </c>
      <c r="R45" s="207" t="e">
        <f>tProjectsMaster212[[#This Row],[Actual cost (admin)]]/tProjectsMaster212[[#This Row],[Costbased]]</f>
        <v>#DIV/0!</v>
      </c>
      <c r="S45" s="78"/>
      <c r="T45" s="192"/>
      <c r="U45" s="78"/>
      <c r="V45" s="78"/>
    </row>
    <row r="46" spans="1:22">
      <c r="A46" s="182" t="s">
        <v>423</v>
      </c>
      <c r="B46" s="182">
        <f>YEAR(tProjectsMaster212[[#This Row],[End Date]])</f>
        <v>2025</v>
      </c>
      <c r="C46" s="55" t="str">
        <f t="shared" ca="1" si="1"/>
        <v>CLOSED</v>
      </c>
      <c r="D46" s="55" t="s">
        <v>1244</v>
      </c>
      <c r="E46" s="55" t="s">
        <v>513</v>
      </c>
      <c r="F46" s="83" t="s">
        <v>1028</v>
      </c>
      <c r="G46" s="183" t="s">
        <v>302</v>
      </c>
      <c r="H46" s="211" t="s">
        <v>1245</v>
      </c>
      <c r="I46" s="185" t="s">
        <v>1155</v>
      </c>
      <c r="J46" s="478" t="s">
        <v>1214</v>
      </c>
      <c r="K46" s="212">
        <v>45924</v>
      </c>
      <c r="L46" s="212">
        <v>45924</v>
      </c>
      <c r="M46" s="212">
        <v>46022</v>
      </c>
      <c r="N46" s="213">
        <f>359700000*(3/12)</f>
        <v>89925000</v>
      </c>
      <c r="O46" s="213">
        <f>323303403*(3/12)</f>
        <v>80825850.75</v>
      </c>
      <c r="P46" s="200">
        <f>SUMIF('REALISASI 2026'!$C$7:$C$1048576,tProjectsMaster212[[#This Row],[Project_ID]],'REALISASI 2026'!$I$7:$I$1048576)</f>
        <v>61592381</v>
      </c>
      <c r="Q46" s="200"/>
      <c r="R46" s="207">
        <f>tProjectsMaster212[[#This Row],[Actual cost (admin)]]/tProjectsMaster212[[#This Row],[Costbased]]</f>
        <v>0</v>
      </c>
      <c r="S46" s="214"/>
      <c r="T46" s="192">
        <v>0.95469999999999999</v>
      </c>
      <c r="U46" s="183"/>
      <c r="V46" s="78"/>
    </row>
    <row r="47" spans="1:22">
      <c r="A47" s="182" t="s">
        <v>423</v>
      </c>
      <c r="B47" s="55">
        <f>YEAR(tProjectsMaster212[[#This Row],[End Date]])</f>
        <v>2026</v>
      </c>
      <c r="C47" s="55" t="str">
        <f t="shared" ca="1" si="1"/>
        <v>ON GOING</v>
      </c>
      <c r="D47" s="55" t="s">
        <v>1244</v>
      </c>
      <c r="E47" s="55" t="s">
        <v>513</v>
      </c>
      <c r="F47" s="83" t="s">
        <v>1028</v>
      </c>
      <c r="G47" s="183" t="s">
        <v>302</v>
      </c>
      <c r="H47" s="211" t="s">
        <v>1245</v>
      </c>
      <c r="I47" s="185" t="s">
        <v>1155</v>
      </c>
      <c r="J47" s="478" t="s">
        <v>1214</v>
      </c>
      <c r="K47" s="212">
        <v>45924</v>
      </c>
      <c r="L47" s="188">
        <v>46023</v>
      </c>
      <c r="M47" s="188">
        <v>46288</v>
      </c>
      <c r="N47" s="213">
        <f>359700000*(9/12)</f>
        <v>269775000</v>
      </c>
      <c r="O47" s="213">
        <f>323303403*(9/12)</f>
        <v>242477552.25</v>
      </c>
      <c r="P47" s="200">
        <f>SUMIF('REALISASI 2026'!$C$7:$C$1048576,tProjectsMaster212[[#This Row],[Project_ID]],'REALISASI 2026'!$I$7:$I$1048576)</f>
        <v>61592381</v>
      </c>
      <c r="Q47" s="202">
        <f>SUMIF('REALISASI 2026'!$C$7:$C$1048576,tProjectsMaster212[[#This Row],[Project_ID]],'REALISASI 2026'!$I$7:$I$1048576)</f>
        <v>61592381</v>
      </c>
      <c r="R47" s="207">
        <f>tProjectsMaster212[[#This Row],[Actual cost (admin)]]/tProjectsMaster212[[#This Row],[Costbased]]</f>
        <v>0.25401271345933424</v>
      </c>
      <c r="S47" s="201"/>
      <c r="T47" s="192">
        <v>0.95469999999999999</v>
      </c>
      <c r="U47" s="78"/>
      <c r="V47" s="78"/>
    </row>
    <row r="48" spans="1:22">
      <c r="A48" s="338" t="s">
        <v>551</v>
      </c>
      <c r="B48" s="338">
        <f>YEAR(tProjectsMaster212[[#This Row],[End Date]])</f>
        <v>2025</v>
      </c>
      <c r="C48" s="338" t="str">
        <f t="shared" ca="1" si="1"/>
        <v>CLOSED</v>
      </c>
      <c r="D48" s="55" t="s">
        <v>1241</v>
      </c>
      <c r="E48" s="338" t="s">
        <v>507</v>
      </c>
      <c r="F48" s="339" t="s">
        <v>1028</v>
      </c>
      <c r="G48" s="340" t="s">
        <v>552</v>
      </c>
      <c r="H48" s="340" t="s">
        <v>1246</v>
      </c>
      <c r="I48" s="349" t="s">
        <v>435</v>
      </c>
      <c r="J48" s="481" t="s">
        <v>1209</v>
      </c>
      <c r="K48" s="341">
        <v>46021</v>
      </c>
      <c r="L48" s="341">
        <v>45908</v>
      </c>
      <c r="M48" s="341">
        <v>46022</v>
      </c>
      <c r="N48" s="342">
        <f>26300000+(32600000+1152000)*3</f>
        <v>127556000</v>
      </c>
      <c r="O48" s="342">
        <f>380409120/2</f>
        <v>190204560</v>
      </c>
      <c r="P48" s="197"/>
      <c r="Q48" s="206"/>
      <c r="R48" s="195">
        <f>tProjectsMaster212[[#This Row],[Actual cost (admin)]]/tProjectsMaster212[[#This Row],[Costbased]]</f>
        <v>0</v>
      </c>
      <c r="S48" s="196"/>
      <c r="T48" s="192">
        <v>0.73860000000000003</v>
      </c>
      <c r="U48" s="78"/>
      <c r="V48" s="78"/>
    </row>
    <row r="49" spans="1:22">
      <c r="A49" s="182" t="s">
        <v>551</v>
      </c>
      <c r="B49" s="55">
        <f>YEAR(tProjectsMaster212[[#This Row],[End Date]])</f>
        <v>2026</v>
      </c>
      <c r="C49" s="55" t="str">
        <f t="shared" ca="1" si="1"/>
        <v>ON GOING</v>
      </c>
      <c r="D49" s="55" t="s">
        <v>1241</v>
      </c>
      <c r="E49" s="55" t="s">
        <v>507</v>
      </c>
      <c r="F49" s="83" t="s">
        <v>1028</v>
      </c>
      <c r="G49" s="78" t="s">
        <v>552</v>
      </c>
      <c r="H49" s="78" t="s">
        <v>1246</v>
      </c>
      <c r="I49" s="185" t="s">
        <v>435</v>
      </c>
      <c r="J49" s="478" t="s">
        <v>1209</v>
      </c>
      <c r="K49" s="188">
        <v>46021</v>
      </c>
      <c r="L49" s="188">
        <v>46023</v>
      </c>
      <c r="M49" s="188">
        <v>46292</v>
      </c>
      <c r="N49" s="193">
        <f>(32600000+1152000)*9</f>
        <v>303768000</v>
      </c>
      <c r="O49" s="193">
        <f>380409120/2</f>
        <v>190204560</v>
      </c>
      <c r="P49" s="200">
        <f>SUMIF('REALISASI 2026'!$C$7:$C$1048576,tProjectsMaster212[[#This Row],[Project_ID]],'REALISASI 2026'!$I$7:$I$1048576)</f>
        <v>230573</v>
      </c>
      <c r="Q49" s="202">
        <f>SUMIF('REALISASI 2026'!$C$7:$C$1048576,tProjectsMaster212[[#This Row],[Project_ID]],'REALISASI 2026'!$I$7:$I$1048576)</f>
        <v>230573</v>
      </c>
      <c r="R49" s="207">
        <f>tProjectsMaster212[[#This Row],[Actual cost (admin)]]/tProjectsMaster212[[#This Row],[Costbased]]</f>
        <v>1.2122369726572275E-3</v>
      </c>
      <c r="S49" s="196"/>
      <c r="T49" s="192">
        <v>0.73860000000000003</v>
      </c>
      <c r="U49" s="78"/>
      <c r="V49" s="78"/>
    </row>
    <row r="50" spans="1:22">
      <c r="A50" s="338" t="s">
        <v>432</v>
      </c>
      <c r="B50" s="338">
        <f>YEAR(tProjectsMaster212[[#This Row],[End Date]])</f>
        <v>2025</v>
      </c>
      <c r="C50" s="338" t="str">
        <f t="shared" ca="1" si="1"/>
        <v>CLOSED</v>
      </c>
      <c r="D50" s="55" t="s">
        <v>1212</v>
      </c>
      <c r="E50" s="338" t="s">
        <v>510</v>
      </c>
      <c r="F50" s="339" t="s">
        <v>1028</v>
      </c>
      <c r="G50" s="340" t="s">
        <v>319</v>
      </c>
      <c r="H50" s="349" t="s">
        <v>1247</v>
      </c>
      <c r="I50" s="185" t="s">
        <v>1155</v>
      </c>
      <c r="J50" s="478" t="s">
        <v>1214</v>
      </c>
      <c r="K50" s="345">
        <v>45993</v>
      </c>
      <c r="L50" s="341">
        <v>45992</v>
      </c>
      <c r="M50" s="341">
        <v>46022</v>
      </c>
      <c r="N50" s="342">
        <f>6863206200/12</f>
        <v>571933850</v>
      </c>
      <c r="O50" s="342">
        <f>6455418228/12</f>
        <v>537951519</v>
      </c>
      <c r="P50" s="200"/>
      <c r="Q50" s="200"/>
      <c r="R50" s="207">
        <f>tProjectsMaster212[[#This Row],[Actual cost (admin)]]/tProjectsMaster212[[#This Row],[Costbased]]</f>
        <v>0</v>
      </c>
      <c r="S50" s="191"/>
      <c r="T50" s="192">
        <v>0.81</v>
      </c>
      <c r="U50" s="78"/>
      <c r="V50" s="78"/>
    </row>
    <row r="51" spans="1:22">
      <c r="A51" s="55" t="s">
        <v>432</v>
      </c>
      <c r="B51" s="55">
        <f>YEAR(tProjectsMaster212[[#This Row],[End Date]])</f>
        <v>2026</v>
      </c>
      <c r="C51" s="55" t="str">
        <f t="shared" ca="1" si="1"/>
        <v>ON GOING</v>
      </c>
      <c r="D51" s="55" t="s">
        <v>1212</v>
      </c>
      <c r="E51" s="55" t="s">
        <v>510</v>
      </c>
      <c r="F51" s="83" t="s">
        <v>1028</v>
      </c>
      <c r="G51" s="78" t="s">
        <v>319</v>
      </c>
      <c r="H51" s="185" t="s">
        <v>1247</v>
      </c>
      <c r="I51" s="185" t="s">
        <v>1155</v>
      </c>
      <c r="J51" s="478" t="s">
        <v>1214</v>
      </c>
      <c r="K51" s="208">
        <v>45993</v>
      </c>
      <c r="L51" s="188">
        <v>46023</v>
      </c>
      <c r="M51" s="188">
        <v>46356</v>
      </c>
      <c r="N51" s="193">
        <f>N50*11</f>
        <v>6291272350</v>
      </c>
      <c r="O51" s="193">
        <f>O50*11</f>
        <v>5917466709</v>
      </c>
      <c r="P51" s="200">
        <f>SUMIF('REALISASI 2026'!$C$7:$C$1048576,tProjectsMaster212[[#This Row],[Project_ID]],'REALISASI 2026'!$I$7:$I$1048576)</f>
        <v>1943532292</v>
      </c>
      <c r="Q51" s="202">
        <f>SUMIF('REALISASI 2026'!$C$7:$C$1048576,tProjectsMaster212[[#This Row],[Project_ID]],'REALISASI 2026'!$I$7:$I$1048576)</f>
        <v>1943532292</v>
      </c>
      <c r="R51" s="207">
        <f>tProjectsMaster212[[#This Row],[Actual cost (admin)]]/tProjectsMaster212[[#This Row],[Costbased]]</f>
        <v>0.32843991991438509</v>
      </c>
      <c r="S51" s="191"/>
      <c r="T51" s="192">
        <v>0.81</v>
      </c>
      <c r="U51" s="78"/>
      <c r="V51" s="78"/>
    </row>
    <row r="52" spans="1:22">
      <c r="A52" s="55" t="s">
        <v>555</v>
      </c>
      <c r="B52" s="55">
        <f>YEAR(tProjectsMaster212[[#This Row],[End Date]])</f>
        <v>2026</v>
      </c>
      <c r="C52" s="55" t="str">
        <f t="shared" ca="1" si="1"/>
        <v>ON GOING</v>
      </c>
      <c r="D52" s="55"/>
      <c r="E52" s="55" t="s">
        <v>513</v>
      </c>
      <c r="F52" s="83" t="s">
        <v>1221</v>
      </c>
      <c r="G52" s="215" t="s">
        <v>480</v>
      </c>
      <c r="H52" s="185" t="s">
        <v>1248</v>
      </c>
      <c r="I52" s="78" t="s">
        <v>1223</v>
      </c>
      <c r="J52" s="55" t="s">
        <v>1214</v>
      </c>
      <c r="K52" s="188">
        <v>45993</v>
      </c>
      <c r="L52" s="188">
        <v>45993</v>
      </c>
      <c r="M52" s="188">
        <v>46357</v>
      </c>
      <c r="N52" s="193">
        <v>3350000000</v>
      </c>
      <c r="O52" s="193">
        <v>3019581454.0300002</v>
      </c>
      <c r="P52" s="200">
        <f>SUMIF('REALISASI 2026'!$C$7:$C$1048576,tProjectsMaster212[[#This Row],[Project_ID]],'REALISASI 2026'!$I$7:$I$1048576)</f>
        <v>190200000</v>
      </c>
      <c r="Q52" s="202">
        <f>SUMIF('REALISASI 2026'!$C$7:$C$1048576,tProjectsMaster212[[#This Row],[Project_ID]],'REALISASI 2026'!$I$7:$I$1048576)</f>
        <v>190200000</v>
      </c>
      <c r="R52" s="207">
        <f>tProjectsMaster212[[#This Row],[Actual cost (admin)]]/tProjectsMaster212[[#This Row],[Costbased]]</f>
        <v>6.2988862163713077E-2</v>
      </c>
      <c r="S52" s="191"/>
      <c r="T52" s="192" t="s">
        <v>835</v>
      </c>
      <c r="U52" s="78"/>
      <c r="V52" s="78"/>
    </row>
    <row r="53" spans="1:22">
      <c r="A53" s="55" t="s">
        <v>431</v>
      </c>
      <c r="B53" s="55">
        <f>YEAR(tProjectsMaster212[[#This Row],[End Date]])</f>
        <v>2026</v>
      </c>
      <c r="C53" s="55" t="str">
        <f t="shared" ca="1" si="1"/>
        <v>ON GOING</v>
      </c>
      <c r="D53" s="216" t="s">
        <v>1249</v>
      </c>
      <c r="E53" s="55" t="s">
        <v>510</v>
      </c>
      <c r="F53" s="83" t="s">
        <v>1028</v>
      </c>
      <c r="G53" s="78" t="s">
        <v>312</v>
      </c>
      <c r="H53" s="78">
        <v>3950486562</v>
      </c>
      <c r="I53" s="185" t="s">
        <v>1155</v>
      </c>
      <c r="J53" s="478" t="s">
        <v>1209</v>
      </c>
      <c r="K53" s="188" t="s">
        <v>842</v>
      </c>
      <c r="L53" s="188">
        <v>46099</v>
      </c>
      <c r="M53" s="188">
        <v>46387</v>
      </c>
      <c r="N53" s="193">
        <f>13056874050+30846028065+(546750000*(10/12))</f>
        <v>44358527115</v>
      </c>
      <c r="O53" s="193">
        <f>11978791240+28299109280+(1040000000*(10/12))</f>
        <v>41144567186.666664</v>
      </c>
      <c r="P53" s="200">
        <f>SUMIF('REALISASI 2026'!$C$7:$C$1048576,tProjectsMaster212[[#This Row],[Project_ID]],'REALISASI 2026'!$I$7:$I$1048576)</f>
        <v>38590702719</v>
      </c>
      <c r="Q53" s="202">
        <f>SUMIF('REALISASI 2026'!$C$7:$C$1048576,tProjectsMaster212[[#This Row],[Project_ID]],'REALISASI 2026'!$I$7:$I$1048576)</f>
        <v>38590702719</v>
      </c>
      <c r="R53" s="207">
        <f>tProjectsMaster212[[#This Row],[Actual cost (admin)]]/tProjectsMaster212[[#This Row],[Costbased]]</f>
        <v>0.93792948517163477</v>
      </c>
      <c r="S53" s="191"/>
      <c r="T53" s="192" t="s">
        <v>1250</v>
      </c>
      <c r="U53" s="78"/>
      <c r="V53" s="78"/>
    </row>
    <row r="54" spans="1:22">
      <c r="A54" s="55" t="s">
        <v>431</v>
      </c>
      <c r="B54" s="55">
        <f>YEAR(tProjectsMaster212[[#This Row],[End Date]])</f>
        <v>2027</v>
      </c>
      <c r="C54" s="55" t="str">
        <f t="shared" ca="1" si="1"/>
        <v>FUTURE</v>
      </c>
      <c r="D54" s="216" t="s">
        <v>1249</v>
      </c>
      <c r="E54" s="55" t="s">
        <v>510</v>
      </c>
      <c r="F54" s="83" t="s">
        <v>1028</v>
      </c>
      <c r="G54" s="78" t="s">
        <v>312</v>
      </c>
      <c r="H54" s="78">
        <v>3950486562</v>
      </c>
      <c r="I54" s="185" t="s">
        <v>1155</v>
      </c>
      <c r="J54" s="478" t="s">
        <v>1209</v>
      </c>
      <c r="K54" s="188" t="s">
        <v>842</v>
      </c>
      <c r="L54" s="188">
        <v>46388</v>
      </c>
      <c r="M54" s="188">
        <v>46463</v>
      </c>
      <c r="N54" s="193">
        <f>546750000*(2/12)</f>
        <v>91125000</v>
      </c>
      <c r="O54" s="193">
        <f>1040000000*(2/12)</f>
        <v>173333333.33333331</v>
      </c>
      <c r="P54" s="200"/>
      <c r="Q54" s="190"/>
      <c r="R54" s="195">
        <f>tProjectsMaster212[[#This Row],[Actual cost (admin)]]/tProjectsMaster212[[#This Row],[Costbased]]</f>
        <v>0</v>
      </c>
      <c r="S54" s="191"/>
      <c r="T54" s="192">
        <v>1.11E-2</v>
      </c>
      <c r="U54" s="78"/>
      <c r="V54" s="78"/>
    </row>
    <row r="55" spans="1:22">
      <c r="A55" s="338" t="s">
        <v>557</v>
      </c>
      <c r="B55" s="338">
        <f>YEAR(tProjectsMaster212[[#This Row],[End Date]])</f>
        <v>2023</v>
      </c>
      <c r="C55" s="338" t="str">
        <f t="shared" ca="1" si="1"/>
        <v>CLOSED</v>
      </c>
      <c r="D55" s="55" t="s">
        <v>390</v>
      </c>
      <c r="E55" s="338" t="s">
        <v>510</v>
      </c>
      <c r="F55" s="339" t="s">
        <v>1028</v>
      </c>
      <c r="G55" s="353" t="s">
        <v>274</v>
      </c>
      <c r="H55" s="349" t="s">
        <v>1251</v>
      </c>
      <c r="I55" s="185" t="s">
        <v>1155</v>
      </c>
      <c r="J55" s="478" t="s">
        <v>1209</v>
      </c>
      <c r="K55" s="341">
        <v>44936</v>
      </c>
      <c r="L55" s="341">
        <v>44936</v>
      </c>
      <c r="M55" s="341">
        <v>45291</v>
      </c>
      <c r="N55" s="342">
        <f>2500000+4000000+(8416667*7)+(6616667*7)</f>
        <v>111733338</v>
      </c>
      <c r="O55" s="342">
        <f>2060000+2060000+(6600512*7)+(4060860*7)</f>
        <v>78749604</v>
      </c>
      <c r="P55" s="366">
        <v>608550000</v>
      </c>
      <c r="Q55" s="217"/>
      <c r="R55" s="195">
        <f>tProjectsMaster212[[#This Row],[Actual cost (admin)]]/tProjectsMaster212[[#This Row],[Costbased]]</f>
        <v>0</v>
      </c>
      <c r="S55" s="191" t="s">
        <v>1252</v>
      </c>
      <c r="T55" s="192">
        <v>0.71189999999999998</v>
      </c>
      <c r="U55" s="55"/>
      <c r="V55" s="78"/>
    </row>
    <row r="56" spans="1:22">
      <c r="A56" s="338" t="s">
        <v>557</v>
      </c>
      <c r="B56" s="338">
        <f>YEAR(tProjectsMaster212[[#This Row],[End Date]])</f>
        <v>2024</v>
      </c>
      <c r="C56" s="338" t="str">
        <f t="shared" ca="1" si="1"/>
        <v>CLOSED</v>
      </c>
      <c r="D56" s="55" t="s">
        <v>390</v>
      </c>
      <c r="E56" s="338" t="s">
        <v>510</v>
      </c>
      <c r="F56" s="339" t="s">
        <v>1028</v>
      </c>
      <c r="G56" s="353" t="s">
        <v>274</v>
      </c>
      <c r="H56" s="349" t="s">
        <v>1251</v>
      </c>
      <c r="I56" s="185" t="s">
        <v>1155</v>
      </c>
      <c r="J56" s="478" t="s">
        <v>1209</v>
      </c>
      <c r="K56" s="341">
        <v>44936</v>
      </c>
      <c r="L56" s="341">
        <v>45292</v>
      </c>
      <c r="M56" s="341">
        <v>45657</v>
      </c>
      <c r="N56" s="342">
        <f>(8416667*12)+(6616667*12)</f>
        <v>180400008</v>
      </c>
      <c r="O56" s="342">
        <f>(6600512*12)+(4060860*12)</f>
        <v>127936464</v>
      </c>
      <c r="P56" s="200">
        <v>0</v>
      </c>
      <c r="Q56" s="190"/>
      <c r="R56" s="195">
        <f>tProjectsMaster212[[#This Row],[Actual cost (admin)]]/tProjectsMaster212[[#This Row],[Costbased]]</f>
        <v>0</v>
      </c>
      <c r="S56" s="218" t="s">
        <v>1252</v>
      </c>
      <c r="T56" s="192">
        <v>0.71189999999999998</v>
      </c>
      <c r="U56" s="55"/>
      <c r="V56" s="78"/>
    </row>
    <row r="57" spans="1:22">
      <c r="A57" s="338" t="s">
        <v>557</v>
      </c>
      <c r="B57" s="338">
        <f>YEAR(tProjectsMaster212[[#This Row],[End Date]])</f>
        <v>2025</v>
      </c>
      <c r="C57" s="338" t="str">
        <f t="shared" ca="1" si="1"/>
        <v>CLOSED</v>
      </c>
      <c r="D57" s="55" t="s">
        <v>390</v>
      </c>
      <c r="E57" s="338" t="s">
        <v>510</v>
      </c>
      <c r="F57" s="339" t="s">
        <v>1028</v>
      </c>
      <c r="G57" s="353" t="s">
        <v>274</v>
      </c>
      <c r="H57" s="349" t="s">
        <v>1251</v>
      </c>
      <c r="I57" s="185" t="s">
        <v>1155</v>
      </c>
      <c r="J57" s="478" t="s">
        <v>1209</v>
      </c>
      <c r="K57" s="341">
        <v>44936</v>
      </c>
      <c r="L57" s="341">
        <v>45658</v>
      </c>
      <c r="M57" s="341">
        <v>46022</v>
      </c>
      <c r="N57" s="342">
        <f>(8416667*12)+(6616667*12)</f>
        <v>180400008</v>
      </c>
      <c r="O57" s="342">
        <f>(6600512*12)+(4060860*12)</f>
        <v>127936464</v>
      </c>
      <c r="P57" s="200">
        <v>0</v>
      </c>
      <c r="Q57" s="190"/>
      <c r="R57" s="195">
        <f>tProjectsMaster212[[#This Row],[Actual cost (admin)]]/tProjectsMaster212[[#This Row],[Costbased]]</f>
        <v>0</v>
      </c>
      <c r="S57" s="218" t="s">
        <v>1252</v>
      </c>
      <c r="T57" s="192">
        <v>0.71189999999999998</v>
      </c>
      <c r="U57" s="55"/>
      <c r="V57" s="78"/>
    </row>
    <row r="58" spans="1:22">
      <c r="A58" s="182" t="s">
        <v>557</v>
      </c>
      <c r="B58" s="55">
        <f>YEAR(tProjectsMaster212[[#This Row],[End Date]])</f>
        <v>2026</v>
      </c>
      <c r="C58" s="55" t="str">
        <f t="shared" ca="1" si="1"/>
        <v>ON GOING</v>
      </c>
      <c r="D58" s="55" t="s">
        <v>390</v>
      </c>
      <c r="E58" s="55" t="s">
        <v>510</v>
      </c>
      <c r="F58" s="83" t="s">
        <v>1028</v>
      </c>
      <c r="G58" s="219" t="s">
        <v>274</v>
      </c>
      <c r="H58" s="185" t="s">
        <v>1251</v>
      </c>
      <c r="I58" s="185" t="s">
        <v>1155</v>
      </c>
      <c r="J58" s="478" t="s">
        <v>1209</v>
      </c>
      <c r="K58" s="188">
        <v>44936</v>
      </c>
      <c r="L58" s="188">
        <v>46023</v>
      </c>
      <c r="M58" s="188">
        <v>46387</v>
      </c>
      <c r="N58" s="193">
        <f>(8416667*12)+(6616667*12)</f>
        <v>180400008</v>
      </c>
      <c r="O58" s="193">
        <f>(6600512*12)+(4060860*12)</f>
        <v>127936464</v>
      </c>
      <c r="P58" s="200">
        <v>0</v>
      </c>
      <c r="Q58" s="202">
        <f>SUMIF('REALISASI 2026'!$C$7:$C$1048576,tProjectsMaster212[[#This Row],[Project_ID]],'REALISASI 2026'!$I$7:$I$1048576)</f>
        <v>0</v>
      </c>
      <c r="R58" s="207">
        <f>tProjectsMaster212[[#This Row],[Actual cost (admin)]]/tProjectsMaster212[[#This Row],[Costbased]]</f>
        <v>0</v>
      </c>
      <c r="S58" s="218" t="s">
        <v>1252</v>
      </c>
      <c r="T58" s="192">
        <v>0.71189999999999998</v>
      </c>
      <c r="U58" s="55"/>
      <c r="V58" s="78"/>
    </row>
    <row r="59" spans="1:22">
      <c r="A59" s="182" t="s">
        <v>557</v>
      </c>
      <c r="B59" s="182">
        <f>YEAR(tProjectsMaster212[[#This Row],[End Date]])</f>
        <v>2027</v>
      </c>
      <c r="C59" s="55" t="str">
        <f t="shared" ca="1" si="1"/>
        <v>FUTURE</v>
      </c>
      <c r="D59" s="55" t="s">
        <v>390</v>
      </c>
      <c r="E59" s="55" t="s">
        <v>510</v>
      </c>
      <c r="F59" s="339" t="s">
        <v>1028</v>
      </c>
      <c r="G59" s="219" t="s">
        <v>274</v>
      </c>
      <c r="H59" s="185" t="s">
        <v>1251</v>
      </c>
      <c r="I59" s="185" t="s">
        <v>1155</v>
      </c>
      <c r="J59" s="478" t="s">
        <v>1209</v>
      </c>
      <c r="K59" s="188">
        <v>44936</v>
      </c>
      <c r="L59" s="212">
        <v>46388</v>
      </c>
      <c r="M59" s="212">
        <v>46752</v>
      </c>
      <c r="N59" s="193">
        <f>(8416667*12)+(6616667*12)</f>
        <v>180400008</v>
      </c>
      <c r="O59" s="193">
        <f>(6600512*12)+(4060860*12)</f>
        <v>127936464</v>
      </c>
      <c r="P59" s="200">
        <v>0</v>
      </c>
      <c r="Q59" s="190"/>
      <c r="R59" s="195">
        <f>tProjectsMaster212[[#This Row],[Actual cost (admin)]]/tProjectsMaster212[[#This Row],[Costbased]]</f>
        <v>0</v>
      </c>
      <c r="S59" s="218" t="s">
        <v>1252</v>
      </c>
      <c r="T59" s="204" t="s">
        <v>1253</v>
      </c>
      <c r="U59" s="55"/>
      <c r="V59" s="78"/>
    </row>
    <row r="60" spans="1:22">
      <c r="A60" s="182" t="s">
        <v>557</v>
      </c>
      <c r="B60" s="55">
        <f>YEAR(tProjectsMaster212[[#This Row],[End Date]])</f>
        <v>2028</v>
      </c>
      <c r="C60" s="55" t="str">
        <f t="shared" ca="1" si="1"/>
        <v>FUTURE</v>
      </c>
      <c r="D60" s="55" t="s">
        <v>390</v>
      </c>
      <c r="E60" s="55" t="s">
        <v>510</v>
      </c>
      <c r="F60" s="339" t="s">
        <v>1028</v>
      </c>
      <c r="G60" s="219" t="s">
        <v>274</v>
      </c>
      <c r="H60" s="185" t="s">
        <v>1251</v>
      </c>
      <c r="I60" s="185" t="s">
        <v>1155</v>
      </c>
      <c r="J60" s="478" t="s">
        <v>1209</v>
      </c>
      <c r="K60" s="188">
        <v>44936</v>
      </c>
      <c r="L60" s="188">
        <v>46753</v>
      </c>
      <c r="M60" s="188">
        <v>46913</v>
      </c>
      <c r="N60" s="193">
        <f>(8416667*5)+(6616667*5)+19000000</f>
        <v>94166670</v>
      </c>
      <c r="O60" s="193">
        <f>(6600512*5)+(4060860*5)+15450000</f>
        <v>68756860</v>
      </c>
      <c r="P60" s="200">
        <v>0</v>
      </c>
      <c r="Q60" s="190"/>
      <c r="R60" s="195">
        <f>tProjectsMaster212[[#This Row],[Actual cost (admin)]]/tProjectsMaster212[[#This Row],[Costbased]]</f>
        <v>0</v>
      </c>
      <c r="S60" s="218" t="s">
        <v>1252</v>
      </c>
      <c r="T60" s="192">
        <v>0.71189999999999998</v>
      </c>
      <c r="U60" s="55"/>
      <c r="V60" s="78"/>
    </row>
    <row r="61" spans="1:22">
      <c r="A61" s="338" t="s">
        <v>559</v>
      </c>
      <c r="B61" s="338">
        <f>YEAR(tProjectsMaster212[[#This Row],[End Date]])</f>
        <v>2024</v>
      </c>
      <c r="C61" s="338" t="str">
        <f t="shared" ca="1" si="1"/>
        <v>CLOSED</v>
      </c>
      <c r="D61" s="55" t="s">
        <v>1254</v>
      </c>
      <c r="E61" s="338" t="s">
        <v>510</v>
      </c>
      <c r="F61" s="339" t="s">
        <v>1028</v>
      </c>
      <c r="G61" s="340" t="s">
        <v>560</v>
      </c>
      <c r="H61" s="340">
        <v>3950372558</v>
      </c>
      <c r="I61" s="185" t="s">
        <v>1155</v>
      </c>
      <c r="J61" s="478" t="s">
        <v>1209</v>
      </c>
      <c r="K61" s="341">
        <v>45593</v>
      </c>
      <c r="L61" s="341">
        <v>45558</v>
      </c>
      <c r="M61" s="341">
        <v>45657</v>
      </c>
      <c r="N61" s="342">
        <f>3/36*27649420030</f>
        <v>2304118335.833333</v>
      </c>
      <c r="O61" s="342">
        <f>3/36*26126274249</f>
        <v>2177189520.75</v>
      </c>
      <c r="P61" s="213"/>
      <c r="Q61" s="220"/>
      <c r="R61" s="238">
        <f>tProjectsMaster212[[#This Row],[Actual cost (admin)]]/tProjectsMaster212[[#This Row],[Costbased]]</f>
        <v>0</v>
      </c>
      <c r="S61" s="183"/>
      <c r="T61" s="192">
        <v>0.3478</v>
      </c>
      <c r="U61" s="183"/>
      <c r="V61" s="78"/>
    </row>
    <row r="62" spans="1:22">
      <c r="A62" s="338" t="s">
        <v>559</v>
      </c>
      <c r="B62" s="338">
        <f>YEAR(tProjectsMaster212[[#This Row],[End Date]])</f>
        <v>2025</v>
      </c>
      <c r="C62" s="338" t="str">
        <f t="shared" ca="1" si="1"/>
        <v>CLOSED</v>
      </c>
      <c r="D62" s="55" t="s">
        <v>1254</v>
      </c>
      <c r="E62" s="338" t="s">
        <v>510</v>
      </c>
      <c r="F62" s="339" t="s">
        <v>1028</v>
      </c>
      <c r="G62" s="340" t="s">
        <v>560</v>
      </c>
      <c r="H62" s="340">
        <v>3950372558</v>
      </c>
      <c r="I62" s="185" t="s">
        <v>1155</v>
      </c>
      <c r="J62" s="478" t="s">
        <v>1209</v>
      </c>
      <c r="K62" s="341">
        <v>45593</v>
      </c>
      <c r="L62" s="341">
        <v>45658</v>
      </c>
      <c r="M62" s="341">
        <v>46022</v>
      </c>
      <c r="N62" s="342">
        <f>12/36*27649420030</f>
        <v>9216473343.3333321</v>
      </c>
      <c r="O62" s="342">
        <f>12/36*26126274249</f>
        <v>8708758083</v>
      </c>
      <c r="P62" s="199"/>
      <c r="Q62" s="199"/>
      <c r="R62" s="238">
        <f>tProjectsMaster212[[#This Row],[Actual cost (admin)]]/tProjectsMaster212[[#This Row],[Costbased]]</f>
        <v>0</v>
      </c>
      <c r="S62" s="183"/>
      <c r="T62" s="192">
        <v>0.3478</v>
      </c>
      <c r="U62" s="183"/>
      <c r="V62" s="78"/>
    </row>
    <row r="63" spans="1:22">
      <c r="A63" s="182" t="s">
        <v>559</v>
      </c>
      <c r="B63" s="182">
        <f>YEAR(tProjectsMaster212[[#This Row],[End Date]])</f>
        <v>2026</v>
      </c>
      <c r="C63" s="55" t="str">
        <f t="shared" ca="1" si="1"/>
        <v>ON GOING</v>
      </c>
      <c r="D63" s="55" t="s">
        <v>1254</v>
      </c>
      <c r="E63" s="55" t="s">
        <v>510</v>
      </c>
      <c r="F63" s="83" t="s">
        <v>1028</v>
      </c>
      <c r="G63" s="183" t="s">
        <v>560</v>
      </c>
      <c r="H63" s="183">
        <v>3950372558</v>
      </c>
      <c r="I63" s="185" t="s">
        <v>1155</v>
      </c>
      <c r="J63" s="478" t="s">
        <v>1209</v>
      </c>
      <c r="K63" s="212">
        <v>45593</v>
      </c>
      <c r="L63" s="212">
        <v>46023</v>
      </c>
      <c r="M63" s="212">
        <v>46387</v>
      </c>
      <c r="N63" s="213">
        <f>12/36*27649420030</f>
        <v>9216473343.3333321</v>
      </c>
      <c r="O63" s="213">
        <f>12/36*26126274249</f>
        <v>8708758083</v>
      </c>
      <c r="P63" s="200"/>
      <c r="Q63" s="202">
        <f>SUMIF('REALISASI 2026'!$C$7:$C$1048576,tProjectsMaster212[[#This Row],[Project_ID]],'REALISASI 2026'!$I$7:$I$1048576)</f>
        <v>0</v>
      </c>
      <c r="R63" s="207">
        <f>tProjectsMaster212[[#This Row],[Actual cost (admin)]]/tProjectsMaster212[[#This Row],[Costbased]]</f>
        <v>0</v>
      </c>
      <c r="S63" s="183"/>
      <c r="T63" s="192">
        <v>0.3478</v>
      </c>
      <c r="U63" s="183"/>
      <c r="V63" s="78"/>
    </row>
    <row r="64" spans="1:22">
      <c r="A64" s="182" t="s">
        <v>559</v>
      </c>
      <c r="B64" s="182">
        <f>YEAR(tProjectsMaster212[[#This Row],[End Date]])</f>
        <v>2027</v>
      </c>
      <c r="C64" s="55" t="str">
        <f t="shared" ca="1" si="1"/>
        <v>FUTURE</v>
      </c>
      <c r="D64" s="55" t="s">
        <v>1254</v>
      </c>
      <c r="E64" s="55" t="s">
        <v>510</v>
      </c>
      <c r="F64" s="339" t="s">
        <v>1028</v>
      </c>
      <c r="G64" s="183" t="s">
        <v>560</v>
      </c>
      <c r="H64" s="183">
        <v>3950372558</v>
      </c>
      <c r="I64" s="185" t="s">
        <v>1155</v>
      </c>
      <c r="J64" s="478" t="s">
        <v>1209</v>
      </c>
      <c r="K64" s="212">
        <v>45593</v>
      </c>
      <c r="L64" s="212">
        <v>46388</v>
      </c>
      <c r="M64" s="212">
        <v>46652</v>
      </c>
      <c r="N64" s="213">
        <f>9/36*27649420030</f>
        <v>6912355007.5</v>
      </c>
      <c r="O64" s="213">
        <f>9/36*26126274249</f>
        <v>6531568562.25</v>
      </c>
      <c r="P64" s="199"/>
      <c r="Q64" s="199"/>
      <c r="R64" s="238">
        <f>tProjectsMaster212[[#This Row],[Actual cost (admin)]]/tProjectsMaster212[[#This Row],[Costbased]]</f>
        <v>0</v>
      </c>
      <c r="S64" s="183"/>
      <c r="T64" s="192">
        <v>0.3478</v>
      </c>
      <c r="U64" s="183"/>
      <c r="V64" s="78"/>
    </row>
    <row r="65" spans="1:22">
      <c r="A65" s="338" t="s">
        <v>562</v>
      </c>
      <c r="B65" s="338">
        <f>YEAR(tProjectsMaster212[[#This Row],[End Date]])</f>
        <v>2024</v>
      </c>
      <c r="C65" s="338" t="str">
        <f t="shared" ca="1" si="1"/>
        <v>CLOSED</v>
      </c>
      <c r="D65" s="55" t="s">
        <v>1255</v>
      </c>
      <c r="E65" s="338" t="s">
        <v>510</v>
      </c>
      <c r="F65" s="339" t="s">
        <v>1221</v>
      </c>
      <c r="G65" s="340" t="s">
        <v>276</v>
      </c>
      <c r="H65" s="356">
        <v>3950380722</v>
      </c>
      <c r="I65" s="355" t="s">
        <v>435</v>
      </c>
      <c r="J65" s="479" t="s">
        <v>1209</v>
      </c>
      <c r="K65" s="357">
        <v>45603</v>
      </c>
      <c r="L65" s="357">
        <v>45621</v>
      </c>
      <c r="M65" s="341">
        <v>45657</v>
      </c>
      <c r="N65" s="342">
        <v>8952230028</v>
      </c>
      <c r="O65" s="342">
        <f>(25279905446/25)*1</f>
        <v>1011196217.84</v>
      </c>
      <c r="P65" s="200" t="e">
        <f>((8076739200/25)*1)+#REF!</f>
        <v>#REF!</v>
      </c>
      <c r="Q65" s="190"/>
      <c r="R65" s="195">
        <f>tProjectsMaster212[[#This Row],[Actual cost (admin)]]/tProjectsMaster212[[#This Row],[Costbased]]</f>
        <v>0</v>
      </c>
      <c r="S65" s="196"/>
      <c r="T65" s="192">
        <v>0.35460000000000003</v>
      </c>
      <c r="U65" s="55"/>
      <c r="V65" s="78"/>
    </row>
    <row r="66" spans="1:22">
      <c r="A66" s="338" t="s">
        <v>562</v>
      </c>
      <c r="B66" s="338">
        <f>YEAR(tProjectsMaster212[[#This Row],[End Date]])</f>
        <v>2025</v>
      </c>
      <c r="C66" s="338" t="str">
        <f t="shared" ca="1" si="1"/>
        <v>CLOSED</v>
      </c>
      <c r="D66" s="55" t="s">
        <v>1255</v>
      </c>
      <c r="E66" s="338" t="s">
        <v>510</v>
      </c>
      <c r="F66" s="339" t="s">
        <v>1221</v>
      </c>
      <c r="G66" s="340" t="s">
        <v>276</v>
      </c>
      <c r="H66" s="356">
        <v>3950380722</v>
      </c>
      <c r="I66" s="355" t="s">
        <v>435</v>
      </c>
      <c r="J66" s="479" t="s">
        <v>1209</v>
      </c>
      <c r="K66" s="357">
        <v>45603</v>
      </c>
      <c r="L66" s="357">
        <v>45658</v>
      </c>
      <c r="M66" s="341">
        <v>46022</v>
      </c>
      <c r="N66" s="342">
        <v>13216910028</v>
      </c>
      <c r="O66" s="342">
        <f>(25279905446/25)*12</f>
        <v>12134354614.08</v>
      </c>
      <c r="P66" s="200" t="e">
        <f>((8076739200/25)*12)+#REF!</f>
        <v>#REF!</v>
      </c>
      <c r="Q66" s="206"/>
      <c r="R66" s="195">
        <f>tProjectsMaster212[[#This Row],[Actual cost (admin)]]/tProjectsMaster212[[#This Row],[Costbased]]</f>
        <v>0</v>
      </c>
      <c r="S66" s="196"/>
      <c r="T66" s="192">
        <v>0.35460000000000003</v>
      </c>
      <c r="U66" s="55"/>
      <c r="V66" s="78"/>
    </row>
    <row r="67" spans="1:22">
      <c r="A67" s="182" t="s">
        <v>562</v>
      </c>
      <c r="B67" s="55">
        <f>YEAR(tProjectsMaster212[[#This Row],[End Date]])</f>
        <v>2026</v>
      </c>
      <c r="C67" s="55" t="str">
        <f t="shared" ref="C67:C98" ca="1" si="2">IF(L67&gt;TODAY(),"FUTURE",IF(M67&gt;TODAY(),"ON GOING","CLOSED"))</f>
        <v>ON GOING</v>
      </c>
      <c r="D67" s="55" t="s">
        <v>1255</v>
      </c>
      <c r="E67" s="55" t="s">
        <v>510</v>
      </c>
      <c r="F67" s="83" t="s">
        <v>1221</v>
      </c>
      <c r="G67" s="78" t="s">
        <v>276</v>
      </c>
      <c r="H67" s="215">
        <v>3950380722</v>
      </c>
      <c r="I67" s="210" t="s">
        <v>435</v>
      </c>
      <c r="J67" s="480" t="s">
        <v>1209</v>
      </c>
      <c r="K67" s="221">
        <v>45603</v>
      </c>
      <c r="L67" s="221">
        <v>46023</v>
      </c>
      <c r="M67" s="188">
        <v>46387</v>
      </c>
      <c r="N67" s="193">
        <v>4264680000</v>
      </c>
      <c r="O67" s="193">
        <f>(25279905446/25)*12</f>
        <v>12134354614.08</v>
      </c>
      <c r="P67" s="200">
        <f>((8076739200/25)*12)</f>
        <v>3876834816</v>
      </c>
      <c r="Q67" s="202">
        <f>SUMIF('REALISASI 2026'!$C$7:$C$1048576,tProjectsMaster212[[#This Row],[Project_ID]],'REALISASI 2026'!$I$7:$I$1048576)</f>
        <v>1520509200</v>
      </c>
      <c r="R67" s="207">
        <f>tProjectsMaster212[[#This Row],[Actual cost (admin)]]/tProjectsMaster212[[#This Row],[Costbased]]</f>
        <v>0.12530614510273907</v>
      </c>
      <c r="S67" s="196"/>
      <c r="T67" s="192">
        <v>0.35460000000000003</v>
      </c>
      <c r="U67" s="55"/>
      <c r="V67" s="78"/>
    </row>
    <row r="68" spans="1:22">
      <c r="A68" s="182" t="s">
        <v>562</v>
      </c>
      <c r="B68" s="55">
        <f>YEAR(tProjectsMaster212[[#This Row],[End Date]])</f>
        <v>2027</v>
      </c>
      <c r="C68" s="55" t="str">
        <f t="shared" ca="1" si="2"/>
        <v>FUTURE</v>
      </c>
      <c r="D68" s="55" t="s">
        <v>1255</v>
      </c>
      <c r="E68" s="55" t="s">
        <v>510</v>
      </c>
      <c r="F68" s="83" t="s">
        <v>1221</v>
      </c>
      <c r="G68" s="78" t="s">
        <v>276</v>
      </c>
      <c r="H68" s="215">
        <v>3950380722</v>
      </c>
      <c r="I68" s="185" t="s">
        <v>1155</v>
      </c>
      <c r="J68" s="478" t="s">
        <v>1209</v>
      </c>
      <c r="K68" s="221">
        <v>45603</v>
      </c>
      <c r="L68" s="221">
        <v>46388</v>
      </c>
      <c r="M68" s="188">
        <v>46551</v>
      </c>
      <c r="N68" s="193">
        <v>0</v>
      </c>
      <c r="O68" s="193" t="s">
        <v>1256</v>
      </c>
      <c r="P68" s="193" t="s">
        <v>1256</v>
      </c>
      <c r="Q68" s="206"/>
      <c r="R68" s="195" t="e">
        <f>tProjectsMaster212[[#This Row],[Actual cost (admin)]]/tProjectsMaster212[[#This Row],[Costbased]]</f>
        <v>#VALUE!</v>
      </c>
      <c r="S68" s="196"/>
      <c r="T68" s="192">
        <v>0.35460000000000003</v>
      </c>
      <c r="U68" s="55"/>
      <c r="V68" s="78"/>
    </row>
    <row r="69" spans="1:22">
      <c r="A69" s="338" t="s">
        <v>564</v>
      </c>
      <c r="B69" s="338">
        <f>YEAR(tProjectsMaster212[[#This Row],[End Date]])</f>
        <v>2025</v>
      </c>
      <c r="C69" s="338" t="str">
        <f t="shared" ca="1" si="2"/>
        <v>CLOSED</v>
      </c>
      <c r="D69" s="55" t="s">
        <v>1254</v>
      </c>
      <c r="E69" s="338" t="s">
        <v>513</v>
      </c>
      <c r="F69" s="339" t="s">
        <v>1028</v>
      </c>
      <c r="G69" s="340" t="s">
        <v>565</v>
      </c>
      <c r="H69" s="349" t="s">
        <v>1257</v>
      </c>
      <c r="I69" s="185" t="s">
        <v>1155</v>
      </c>
      <c r="J69" s="478" t="s">
        <v>1209</v>
      </c>
      <c r="K69" s="345">
        <v>45922</v>
      </c>
      <c r="L69" s="341">
        <v>45931</v>
      </c>
      <c r="M69" s="341">
        <v>46022</v>
      </c>
      <c r="N69" s="342">
        <v>1083605000</v>
      </c>
      <c r="O69" s="342">
        <v>866580638</v>
      </c>
      <c r="P69" s="200">
        <v>616182300</v>
      </c>
      <c r="Q69" s="190"/>
      <c r="R69" s="195">
        <f>tProjectsMaster212[[#This Row],[Actual cost (admin)]]/tProjectsMaster212[[#This Row],[Costbased]]</f>
        <v>0</v>
      </c>
      <c r="S69" s="218"/>
      <c r="T69" s="192" t="s">
        <v>837</v>
      </c>
      <c r="U69" s="78"/>
      <c r="V69" s="78"/>
    </row>
    <row r="70" spans="1:22">
      <c r="A70" s="182" t="s">
        <v>564</v>
      </c>
      <c r="B70" s="55">
        <f>YEAR(tProjectsMaster212[[#This Row],[End Date]])</f>
        <v>2026</v>
      </c>
      <c r="C70" s="55" t="str">
        <f t="shared" ca="1" si="2"/>
        <v>ON GOING</v>
      </c>
      <c r="D70" s="55" t="s">
        <v>1254</v>
      </c>
      <c r="E70" s="55" t="s">
        <v>513</v>
      </c>
      <c r="F70" s="83" t="s">
        <v>1028</v>
      </c>
      <c r="G70" s="78" t="s">
        <v>565</v>
      </c>
      <c r="H70" s="185" t="s">
        <v>1257</v>
      </c>
      <c r="I70" s="185" t="s">
        <v>1155</v>
      </c>
      <c r="J70" s="478" t="s">
        <v>1209</v>
      </c>
      <c r="K70" s="208">
        <v>45922</v>
      </c>
      <c r="L70" s="188">
        <v>46023</v>
      </c>
      <c r="M70" s="188">
        <v>46387</v>
      </c>
      <c r="N70" s="193">
        <v>3811175000</v>
      </c>
      <c r="O70" s="193">
        <v>3696137976</v>
      </c>
      <c r="P70" s="365"/>
      <c r="Q70" s="202">
        <f>SUMIF('REALISASI 2026'!$C$7:$C$1048576,tProjectsMaster212[[#This Row],[Project_ID]],'REALISASI 2026'!$I$7:$I$1048576)</f>
        <v>720083807</v>
      </c>
      <c r="R70" s="207">
        <f>tProjectsMaster212[[#This Row],[Actual cost (admin)]]/tProjectsMaster212[[#This Row],[Costbased]]</f>
        <v>0.19482059697870976</v>
      </c>
      <c r="S70" s="191"/>
      <c r="T70" s="192" t="s">
        <v>837</v>
      </c>
      <c r="U70" s="78"/>
      <c r="V70" s="78"/>
    </row>
    <row r="71" spans="1:22">
      <c r="A71" s="182" t="s">
        <v>564</v>
      </c>
      <c r="B71" s="55">
        <f>YEAR(tProjectsMaster212[[#This Row],[End Date]])</f>
        <v>2027</v>
      </c>
      <c r="C71" s="55" t="str">
        <f t="shared" ca="1" si="2"/>
        <v>FUTURE</v>
      </c>
      <c r="D71" s="55" t="s">
        <v>1254</v>
      </c>
      <c r="E71" s="55" t="s">
        <v>513</v>
      </c>
      <c r="F71" s="83" t="s">
        <v>1028</v>
      </c>
      <c r="G71" s="78" t="s">
        <v>565</v>
      </c>
      <c r="H71" s="185" t="s">
        <v>1257</v>
      </c>
      <c r="I71" s="185" t="s">
        <v>1155</v>
      </c>
      <c r="J71" s="478" t="s">
        <v>1209</v>
      </c>
      <c r="K71" s="208">
        <v>45922</v>
      </c>
      <c r="L71" s="188">
        <v>46388</v>
      </c>
      <c r="M71" s="188">
        <v>46660</v>
      </c>
      <c r="N71" s="193">
        <v>2905220000</v>
      </c>
      <c r="O71" s="193">
        <v>2865914055</v>
      </c>
      <c r="P71" s="200"/>
      <c r="Q71" s="200"/>
      <c r="R71" s="207">
        <f>tProjectsMaster212[[#This Row],[Actual cost (admin)]]/tProjectsMaster212[[#This Row],[Costbased]]</f>
        <v>0</v>
      </c>
      <c r="S71" s="191"/>
      <c r="T71" s="192" t="s">
        <v>837</v>
      </c>
      <c r="U71" s="78"/>
      <c r="V71" s="78"/>
    </row>
    <row r="72" spans="1:22">
      <c r="A72" s="338" t="s">
        <v>567</v>
      </c>
      <c r="B72" s="338">
        <f>YEAR(tProjectsMaster212[[#This Row],[End Date]])</f>
        <v>2023</v>
      </c>
      <c r="C72" s="338" t="str">
        <f t="shared" ca="1" si="2"/>
        <v>CLOSED</v>
      </c>
      <c r="D72" s="55" t="s">
        <v>1208</v>
      </c>
      <c r="E72" s="338" t="s">
        <v>513</v>
      </c>
      <c r="F72" s="339" t="s">
        <v>1028</v>
      </c>
      <c r="G72" s="340" t="s">
        <v>568</v>
      </c>
      <c r="H72" s="340" t="s">
        <v>1258</v>
      </c>
      <c r="I72" s="185" t="s">
        <v>1155</v>
      </c>
      <c r="J72" s="478" t="s">
        <v>1209</v>
      </c>
      <c r="K72" s="341">
        <v>45162</v>
      </c>
      <c r="L72" s="341">
        <v>45231</v>
      </c>
      <c r="M72" s="341">
        <v>45291</v>
      </c>
      <c r="N72" s="342">
        <f>1100000000+((7500000000/60)*2)</f>
        <v>1350000000</v>
      </c>
      <c r="O72" s="342">
        <f>952208424+((6309367234/60)*2)</f>
        <v>1162520665.1333332</v>
      </c>
      <c r="P72" s="200">
        <f>(5689999260/60)*2</f>
        <v>189666642</v>
      </c>
      <c r="Q72" s="190"/>
      <c r="R72" s="195">
        <f>tProjectsMaster212[[#This Row],[Actual cost (admin)]]/tProjectsMaster212[[#This Row],[Costbased]]</f>
        <v>0</v>
      </c>
      <c r="S72" s="201"/>
      <c r="T72" s="192">
        <v>0.85129999999999995</v>
      </c>
      <c r="U72" s="55"/>
      <c r="V72" s="78"/>
    </row>
    <row r="73" spans="1:22" ht="14.4">
      <c r="A73" s="338" t="s">
        <v>567</v>
      </c>
      <c r="B73" s="338">
        <f>YEAR(tProjectsMaster212[[#This Row],[End Date]])</f>
        <v>2024</v>
      </c>
      <c r="C73" s="338" t="str">
        <f t="shared" ca="1" si="2"/>
        <v>CLOSED</v>
      </c>
      <c r="D73" s="55" t="s">
        <v>1208</v>
      </c>
      <c r="E73" s="338" t="s">
        <v>513</v>
      </c>
      <c r="F73" s="339" t="s">
        <v>1028</v>
      </c>
      <c r="G73" s="340" t="s">
        <v>568</v>
      </c>
      <c r="H73" s="340" t="s">
        <v>1258</v>
      </c>
      <c r="I73" s="185" t="s">
        <v>1155</v>
      </c>
      <c r="J73" s="478" t="s">
        <v>1209</v>
      </c>
      <c r="K73" s="341">
        <v>45162</v>
      </c>
      <c r="L73" s="341">
        <v>45292</v>
      </c>
      <c r="M73" s="341">
        <v>45657</v>
      </c>
      <c r="N73" s="342">
        <f>(7500000000/60)*12</f>
        <v>1500000000</v>
      </c>
      <c r="O73" s="342">
        <f>(6309367234/60)*12</f>
        <v>1261873446.8</v>
      </c>
      <c r="P73" s="367">
        <f>(5689999260/60)*12</f>
        <v>1137999852</v>
      </c>
      <c r="Q73" s="206"/>
      <c r="R73" s="195">
        <f>tProjectsMaster212[[#This Row],[Actual cost (admin)]]/tProjectsMaster212[[#This Row],[Costbased]]</f>
        <v>0</v>
      </c>
      <c r="S73" s="196"/>
      <c r="T73" s="192">
        <v>0.85129999999999995</v>
      </c>
      <c r="U73" s="55"/>
      <c r="V73" s="78"/>
    </row>
    <row r="74" spans="1:22" ht="14.4">
      <c r="A74" s="338" t="s">
        <v>567</v>
      </c>
      <c r="B74" s="338">
        <f>YEAR(tProjectsMaster212[[#This Row],[End Date]])</f>
        <v>2025</v>
      </c>
      <c r="C74" s="338" t="str">
        <f t="shared" ca="1" si="2"/>
        <v>CLOSED</v>
      </c>
      <c r="D74" s="55" t="s">
        <v>1208</v>
      </c>
      <c r="E74" s="338" t="s">
        <v>513</v>
      </c>
      <c r="F74" s="339" t="s">
        <v>1028</v>
      </c>
      <c r="G74" s="340" t="s">
        <v>568</v>
      </c>
      <c r="H74" s="340" t="s">
        <v>1258</v>
      </c>
      <c r="I74" s="185" t="s">
        <v>1155</v>
      </c>
      <c r="J74" s="478" t="s">
        <v>1209</v>
      </c>
      <c r="K74" s="341">
        <v>45162</v>
      </c>
      <c r="L74" s="341">
        <v>45658</v>
      </c>
      <c r="M74" s="341">
        <v>46022</v>
      </c>
      <c r="N74" s="342">
        <f>(7500000000/60)*12</f>
        <v>1500000000</v>
      </c>
      <c r="O74" s="342">
        <f>(6309367234/60)*12</f>
        <v>1261873446.8</v>
      </c>
      <c r="P74" s="367">
        <f>(5689999260/60)*12</f>
        <v>1137999852</v>
      </c>
      <c r="Q74" s="190"/>
      <c r="R74" s="195">
        <f>tProjectsMaster212[[#This Row],[Actual cost (admin)]]/tProjectsMaster212[[#This Row],[Costbased]]</f>
        <v>0</v>
      </c>
      <c r="S74" s="201"/>
      <c r="T74" s="192">
        <v>0.85129999999999995</v>
      </c>
      <c r="U74" s="55"/>
      <c r="V74" s="78"/>
    </row>
    <row r="75" spans="1:22" ht="14.4">
      <c r="A75" s="55" t="s">
        <v>567</v>
      </c>
      <c r="B75" s="55">
        <f>YEAR(tProjectsMaster212[[#This Row],[End Date]])</f>
        <v>2026</v>
      </c>
      <c r="C75" s="55" t="str">
        <f t="shared" ca="1" si="2"/>
        <v>ON GOING</v>
      </c>
      <c r="D75" s="55" t="s">
        <v>1208</v>
      </c>
      <c r="E75" s="55" t="s">
        <v>513</v>
      </c>
      <c r="F75" s="83" t="s">
        <v>1028</v>
      </c>
      <c r="G75" s="78" t="s">
        <v>568</v>
      </c>
      <c r="H75" s="78" t="s">
        <v>1258</v>
      </c>
      <c r="I75" s="185" t="s">
        <v>1155</v>
      </c>
      <c r="J75" s="478" t="s">
        <v>1209</v>
      </c>
      <c r="K75" s="188">
        <v>45162</v>
      </c>
      <c r="L75" s="188">
        <v>46023</v>
      </c>
      <c r="M75" s="188">
        <v>46387</v>
      </c>
      <c r="N75" s="193">
        <f>(7500000000/60)*12</f>
        <v>1500000000</v>
      </c>
      <c r="O75" s="193">
        <f>(6309367234/60)*12</f>
        <v>1261873446.8</v>
      </c>
      <c r="P75" s="367">
        <f>(5689999260/60)*12</f>
        <v>1137999852</v>
      </c>
      <c r="Q75" s="202">
        <f>SUMIF('REALISASI 2026'!$C$7:$C$1048576,tProjectsMaster212[[#This Row],[Project_ID]],'REALISASI 2026'!$I$7:$I$1048576)</f>
        <v>879104886</v>
      </c>
      <c r="R75" s="207">
        <f>tProjectsMaster212[[#This Row],[Actual cost (admin)]]/tProjectsMaster212[[#This Row],[Costbased]]</f>
        <v>0.69666644323908444</v>
      </c>
      <c r="S75" s="201"/>
      <c r="T75" s="192">
        <v>0.85129999999999995</v>
      </c>
      <c r="U75" s="55"/>
      <c r="V75" s="78"/>
    </row>
    <row r="76" spans="1:22" ht="14.4">
      <c r="A76" s="55" t="s">
        <v>567</v>
      </c>
      <c r="B76" s="55">
        <f>YEAR(tProjectsMaster212[[#This Row],[End Date]])</f>
        <v>2027</v>
      </c>
      <c r="C76" s="55" t="str">
        <f t="shared" ca="1" si="2"/>
        <v>FUTURE</v>
      </c>
      <c r="D76" s="55" t="s">
        <v>1208</v>
      </c>
      <c r="E76" s="55" t="s">
        <v>513</v>
      </c>
      <c r="F76" s="339" t="s">
        <v>1028</v>
      </c>
      <c r="G76" s="78" t="s">
        <v>568</v>
      </c>
      <c r="H76" s="78" t="s">
        <v>1258</v>
      </c>
      <c r="I76" s="185" t="s">
        <v>1155</v>
      </c>
      <c r="J76" s="478" t="s">
        <v>1209</v>
      </c>
      <c r="K76" s="188">
        <v>45162</v>
      </c>
      <c r="L76" s="188">
        <v>46388</v>
      </c>
      <c r="M76" s="188">
        <v>46752</v>
      </c>
      <c r="N76" s="193">
        <f>(7500000000/60)*12</f>
        <v>1500000000</v>
      </c>
      <c r="O76" s="193">
        <f>(6309367234/60)*12</f>
        <v>1261873446.8</v>
      </c>
      <c r="P76" s="367">
        <f>(5689999260/60)*12</f>
        <v>1137999852</v>
      </c>
      <c r="Q76" s="190"/>
      <c r="R76" s="195">
        <f>tProjectsMaster212[[#This Row],[Actual cost (admin)]]/tProjectsMaster212[[#This Row],[Costbased]]</f>
        <v>0</v>
      </c>
      <c r="S76" s="201"/>
      <c r="T76" s="192">
        <v>0.85129999999999995</v>
      </c>
      <c r="U76" s="55"/>
      <c r="V76" s="78"/>
    </row>
    <row r="77" spans="1:22" s="1" customFormat="1" ht="14.4">
      <c r="A77" s="55" t="s">
        <v>567</v>
      </c>
      <c r="B77" s="55">
        <f>YEAR(tProjectsMaster212[[#This Row],[End Date]])</f>
        <v>2028</v>
      </c>
      <c r="C77" s="55" t="str">
        <f t="shared" ca="1" si="2"/>
        <v>FUTURE</v>
      </c>
      <c r="D77" s="55" t="s">
        <v>1208</v>
      </c>
      <c r="E77" s="55" t="s">
        <v>513</v>
      </c>
      <c r="F77" s="339" t="s">
        <v>1028</v>
      </c>
      <c r="G77" s="78" t="s">
        <v>568</v>
      </c>
      <c r="H77" s="78" t="s">
        <v>1258</v>
      </c>
      <c r="I77" s="185" t="s">
        <v>1155</v>
      </c>
      <c r="J77" s="478" t="s">
        <v>1209</v>
      </c>
      <c r="K77" s="188">
        <v>45162</v>
      </c>
      <c r="L77" s="188">
        <v>46753</v>
      </c>
      <c r="M77" s="188">
        <v>47057</v>
      </c>
      <c r="N77" s="193">
        <f>(7500000000/60)*12</f>
        <v>1500000000</v>
      </c>
      <c r="O77" s="193">
        <f>(6309367234/60)*10</f>
        <v>1051561205.6666666</v>
      </c>
      <c r="P77" s="367">
        <f>(5689999260/60)*10</f>
        <v>948333210</v>
      </c>
      <c r="Q77" s="190"/>
      <c r="R77" s="195">
        <f>tProjectsMaster212[[#This Row],[Actual cost (admin)]]/tProjectsMaster212[[#This Row],[Costbased]]</f>
        <v>0</v>
      </c>
      <c r="S77" s="201"/>
      <c r="T77" s="192">
        <v>0.85129999999999995</v>
      </c>
      <c r="U77" s="55"/>
      <c r="V77" s="78"/>
    </row>
    <row r="78" spans="1:22" s="1" customFormat="1">
      <c r="A78" s="55" t="s">
        <v>410</v>
      </c>
      <c r="B78" s="55">
        <f>YEAR(tProjectsMaster212[[#This Row],[End Date]])</f>
        <v>2026</v>
      </c>
      <c r="C78" s="55" t="str">
        <f t="shared" ca="1" si="2"/>
        <v>ON GOING</v>
      </c>
      <c r="D78" s="55" t="s">
        <v>1215</v>
      </c>
      <c r="E78" s="55" t="s">
        <v>513</v>
      </c>
      <c r="F78" s="83" t="s">
        <v>1259</v>
      </c>
      <c r="G78" s="78" t="s">
        <v>306</v>
      </c>
      <c r="H78" s="78" t="s">
        <v>1260</v>
      </c>
      <c r="I78" s="78" t="s">
        <v>1223</v>
      </c>
      <c r="J78" s="55" t="s">
        <v>1214</v>
      </c>
      <c r="K78" s="208">
        <v>46078</v>
      </c>
      <c r="L78" s="188">
        <v>46023</v>
      </c>
      <c r="M78" s="188">
        <v>46387</v>
      </c>
      <c r="N78" s="193">
        <v>12100150000</v>
      </c>
      <c r="O78" s="193">
        <v>11738007071</v>
      </c>
      <c r="P78" s="200" t="s">
        <v>1261</v>
      </c>
      <c r="Q78" s="202">
        <f>SUMIF('REALISASI 2026'!$C$7:$C$1048576,tProjectsMaster212[[#This Row],[Project_ID]],'REALISASI 2026'!$I$7:$I$1048576)</f>
        <v>7581727465.04</v>
      </c>
      <c r="R78" s="207">
        <f>tProjectsMaster212[[#This Row],[Actual cost (admin)]]/tProjectsMaster212[[#This Row],[Costbased]]</f>
        <v>0.64591266806879566</v>
      </c>
      <c r="S78" s="191"/>
      <c r="T78" s="192" t="s">
        <v>838</v>
      </c>
      <c r="U78" s="78"/>
      <c r="V78" s="78"/>
    </row>
    <row r="79" spans="1:22" s="18" customFormat="1">
      <c r="A79" s="338" t="s">
        <v>377</v>
      </c>
      <c r="B79" s="338">
        <f>YEAR(tProjectsMaster212[[#This Row],[End Date]])</f>
        <v>2025</v>
      </c>
      <c r="C79" s="338" t="str">
        <f t="shared" ca="1" si="2"/>
        <v>CLOSED</v>
      </c>
      <c r="D79" s="55" t="s">
        <v>390</v>
      </c>
      <c r="E79" s="338" t="s">
        <v>513</v>
      </c>
      <c r="F79" s="83" t="s">
        <v>1028</v>
      </c>
      <c r="G79" s="340" t="s">
        <v>571</v>
      </c>
      <c r="H79" s="340" t="s">
        <v>1262</v>
      </c>
      <c r="I79" s="185" t="s">
        <v>1155</v>
      </c>
      <c r="J79" s="478" t="s">
        <v>1209</v>
      </c>
      <c r="K79" s="341">
        <v>45608</v>
      </c>
      <c r="L79" s="341">
        <v>45658</v>
      </c>
      <c r="M79" s="341">
        <v>46022</v>
      </c>
      <c r="N79" s="342">
        <f>10570000000/3</f>
        <v>3523333333.3333335</v>
      </c>
      <c r="O79" s="342">
        <f>631471834+395687500+331200000+102400000+172618338+124800000+210246514+68800000+4019350000+432573333</f>
        <v>6489147519</v>
      </c>
      <c r="P79" s="200">
        <f>1260000000+860350000+2191200000+1616644852+(28356091*12)</f>
        <v>6268467944</v>
      </c>
      <c r="Q79" s="190"/>
      <c r="R79" s="195">
        <f>tProjectsMaster212[[#This Row],[Actual cost (admin)]]/tProjectsMaster212[[#This Row],[Costbased]]</f>
        <v>0</v>
      </c>
      <c r="S79" s="191"/>
      <c r="T79" s="192">
        <v>0.50309999999999999</v>
      </c>
      <c r="U79" s="78"/>
      <c r="V79" s="78"/>
    </row>
    <row r="80" spans="1:22" s="1" customFormat="1">
      <c r="A80" s="55" t="s">
        <v>377</v>
      </c>
      <c r="B80" s="55">
        <f>YEAR(tProjectsMaster212[[#This Row],[End Date]])</f>
        <v>2026</v>
      </c>
      <c r="C80" s="55" t="str">
        <f t="shared" ca="1" si="2"/>
        <v>ON GOING</v>
      </c>
      <c r="D80" s="55" t="s">
        <v>390</v>
      </c>
      <c r="E80" s="55" t="s">
        <v>513</v>
      </c>
      <c r="F80" s="83" t="s">
        <v>1028</v>
      </c>
      <c r="G80" s="78" t="s">
        <v>571</v>
      </c>
      <c r="H80" s="78" t="s">
        <v>1262</v>
      </c>
      <c r="I80" s="185" t="s">
        <v>1155</v>
      </c>
      <c r="J80" s="478" t="s">
        <v>1209</v>
      </c>
      <c r="K80" s="188">
        <v>45608</v>
      </c>
      <c r="L80" s="188">
        <v>46023</v>
      </c>
      <c r="M80" s="188">
        <v>46387</v>
      </c>
      <c r="N80" s="193">
        <f>10570000000/3</f>
        <v>3523333333.3333335</v>
      </c>
      <c r="O80" s="193">
        <f>432573333</f>
        <v>432573333</v>
      </c>
      <c r="P80" s="200">
        <f>SUMIF('REALISASI 2026'!$C$7:$C$1048576,tProjectsMaster212[[#This Row],[Project_ID]],'REALISASI 2026'!$I$7:$I$1048576)</f>
        <v>187317686</v>
      </c>
      <c r="Q80" s="202">
        <f>SUMIF('REALISASI 2026'!$C$7:$C$1048576,tProjectsMaster212[[#This Row],[Project_ID]],'REALISASI 2026'!$I$7:$I$1048576)</f>
        <v>187317686</v>
      </c>
      <c r="R80" s="207">
        <f>tProjectsMaster212[[#This Row],[Actual cost (admin)]]/tProjectsMaster212[[#This Row],[Costbased]]</f>
        <v>0.43303105325727509</v>
      </c>
      <c r="S80" s="191"/>
      <c r="T80" s="192">
        <v>0.50309999999999999</v>
      </c>
      <c r="U80" s="78"/>
      <c r="V80" s="78"/>
    </row>
    <row r="81" spans="1:22" s="18" customFormat="1">
      <c r="A81" s="55" t="s">
        <v>377</v>
      </c>
      <c r="B81" s="55">
        <f>YEAR(tProjectsMaster212[[#This Row],[End Date]])</f>
        <v>2027</v>
      </c>
      <c r="C81" s="55" t="str">
        <f t="shared" ca="1" si="2"/>
        <v>FUTURE</v>
      </c>
      <c r="D81" s="55" t="s">
        <v>390</v>
      </c>
      <c r="E81" s="55" t="s">
        <v>513</v>
      </c>
      <c r="F81" s="83" t="s">
        <v>1028</v>
      </c>
      <c r="G81" s="78" t="s">
        <v>571</v>
      </c>
      <c r="H81" s="78" t="s">
        <v>1262</v>
      </c>
      <c r="I81" s="185" t="s">
        <v>1155</v>
      </c>
      <c r="J81" s="478" t="s">
        <v>1209</v>
      </c>
      <c r="K81" s="188">
        <v>45608</v>
      </c>
      <c r="L81" s="188">
        <v>46388</v>
      </c>
      <c r="M81" s="188">
        <v>46752</v>
      </c>
      <c r="N81" s="193">
        <f>10570000000/3</f>
        <v>3523333333.3333335</v>
      </c>
      <c r="O81" s="193">
        <f>432573333</f>
        <v>432573333</v>
      </c>
      <c r="P81" s="200"/>
      <c r="Q81" s="190"/>
      <c r="R81" s="195">
        <f>tProjectsMaster212[[#This Row],[Actual cost (admin)]]/tProjectsMaster212[[#This Row],[Costbased]]</f>
        <v>0</v>
      </c>
      <c r="S81" s="191"/>
      <c r="T81" s="192">
        <v>0.50309999999999999</v>
      </c>
      <c r="U81" s="78"/>
      <c r="V81" s="78"/>
    </row>
    <row r="82" spans="1:22">
      <c r="A82" s="55" t="s">
        <v>420</v>
      </c>
      <c r="B82" s="55">
        <f>YEAR(tProjectsMaster212[[#This Row],[End Date]])</f>
        <v>2026</v>
      </c>
      <c r="C82" s="55" t="str">
        <f t="shared" ca="1" si="2"/>
        <v>ON GOING</v>
      </c>
      <c r="D82" s="55" t="s">
        <v>1241</v>
      </c>
      <c r="E82" s="55" t="s">
        <v>513</v>
      </c>
      <c r="F82" s="83" t="s">
        <v>1259</v>
      </c>
      <c r="G82" s="78" t="s">
        <v>280</v>
      </c>
      <c r="H82" s="78" t="s">
        <v>1263</v>
      </c>
      <c r="I82" s="185" t="s">
        <v>1155</v>
      </c>
      <c r="J82" s="478" t="s">
        <v>1209</v>
      </c>
      <c r="K82" s="188">
        <v>46023</v>
      </c>
      <c r="L82" s="188">
        <v>46023</v>
      </c>
      <c r="M82" s="188">
        <v>46387</v>
      </c>
      <c r="N82" s="193">
        <v>8700000000</v>
      </c>
      <c r="O82" s="193">
        <v>8203835132</v>
      </c>
      <c r="P82" s="200">
        <f>2472000000+114905000</f>
        <v>2586905000</v>
      </c>
      <c r="Q82" s="202">
        <f>SUMIF('REALISASI 2026'!$C$7:$C$1048576,tProjectsMaster212[[#This Row],[Project_ID]],'REALISASI 2026'!$I$7:$I$1048576)</f>
        <v>4696467997</v>
      </c>
      <c r="R82" s="207">
        <f>tProjectsMaster212[[#This Row],[Actual cost (admin)]]/tProjectsMaster212[[#This Row],[Costbased]]</f>
        <v>0.5724722549190302</v>
      </c>
      <c r="S82" s="191"/>
      <c r="T82" s="192">
        <v>0.66320000000000001</v>
      </c>
      <c r="U82" s="55"/>
      <c r="V82" s="78"/>
    </row>
    <row r="83" spans="1:22">
      <c r="A83" s="55" t="s">
        <v>574</v>
      </c>
      <c r="B83" s="55">
        <f>YEAR(tProjectsMaster212[[#This Row],[End Date]])</f>
        <v>2026</v>
      </c>
      <c r="C83" s="55" t="str">
        <f t="shared" ca="1" si="2"/>
        <v>ON GOING</v>
      </c>
      <c r="D83" s="55" t="s">
        <v>1241</v>
      </c>
      <c r="E83" s="55" t="s">
        <v>513</v>
      </c>
      <c r="F83" s="83" t="s">
        <v>1221</v>
      </c>
      <c r="G83" s="209" t="s">
        <v>284</v>
      </c>
      <c r="H83" s="223" t="s">
        <v>1264</v>
      </c>
      <c r="I83" s="185" t="s">
        <v>1155</v>
      </c>
      <c r="J83" s="478" t="s">
        <v>1209</v>
      </c>
      <c r="K83" s="188">
        <v>46078</v>
      </c>
      <c r="L83" s="188">
        <v>46023</v>
      </c>
      <c r="M83" s="188">
        <v>46387</v>
      </c>
      <c r="N83" s="193">
        <f>15400000000/3</f>
        <v>5133333333.333333</v>
      </c>
      <c r="O83" s="193">
        <f>(12930184136/36)*12</f>
        <v>4310061378.666667</v>
      </c>
      <c r="P83" s="200">
        <v>703200000</v>
      </c>
      <c r="Q83" s="202">
        <f>SUMIF('REALISASI 2026'!$C$7:$C$1048576,tProjectsMaster212[[#This Row],[Project_ID]],'REALISASI 2026'!$I$7:$I$1048576)</f>
        <v>8655325000</v>
      </c>
      <c r="R83" s="207">
        <f>tProjectsMaster212[[#This Row],[Actual cost (admin)]]/tProjectsMaster212[[#This Row],[Costbased]]</f>
        <v>2.0081674573918842</v>
      </c>
      <c r="S83" s="191"/>
      <c r="T83" s="192" t="s">
        <v>839</v>
      </c>
      <c r="U83" s="55"/>
      <c r="V83" s="78"/>
    </row>
    <row r="84" spans="1:22">
      <c r="A84" s="55" t="s">
        <v>574</v>
      </c>
      <c r="B84" s="55">
        <f>YEAR(tProjectsMaster212[[#This Row],[End Date]])</f>
        <v>2027</v>
      </c>
      <c r="C84" s="55" t="str">
        <f t="shared" ca="1" si="2"/>
        <v>FUTURE</v>
      </c>
      <c r="D84" s="55" t="s">
        <v>1241</v>
      </c>
      <c r="E84" s="55" t="s">
        <v>513</v>
      </c>
      <c r="F84" s="83" t="s">
        <v>1221</v>
      </c>
      <c r="G84" s="209" t="s">
        <v>284</v>
      </c>
      <c r="H84" s="223" t="s">
        <v>1264</v>
      </c>
      <c r="I84" s="185" t="s">
        <v>1155</v>
      </c>
      <c r="J84" s="478" t="s">
        <v>1209</v>
      </c>
      <c r="K84" s="188">
        <v>46078</v>
      </c>
      <c r="L84" s="188">
        <v>46388</v>
      </c>
      <c r="M84" s="188">
        <v>46752</v>
      </c>
      <c r="N84" s="193">
        <f>15400000000/3</f>
        <v>5133333333.333333</v>
      </c>
      <c r="O84" s="193">
        <f>12930184136/3</f>
        <v>4310061378.666667</v>
      </c>
      <c r="P84" s="200" t="s">
        <v>1265</v>
      </c>
      <c r="Q84" s="190"/>
      <c r="R84" s="195">
        <f>tProjectsMaster212[[#This Row],[Actual cost (admin)]]/tProjectsMaster212[[#This Row],[Costbased]]</f>
        <v>0</v>
      </c>
      <c r="S84" s="191"/>
      <c r="T84" s="192" t="s">
        <v>839</v>
      </c>
      <c r="U84" s="55"/>
      <c r="V84" s="78"/>
    </row>
    <row r="85" spans="1:22">
      <c r="A85" s="55" t="s">
        <v>574</v>
      </c>
      <c r="B85" s="55">
        <f>YEAR(tProjectsMaster212[[#This Row],[End Date]])</f>
        <v>2028</v>
      </c>
      <c r="C85" s="55" t="str">
        <f t="shared" ca="1" si="2"/>
        <v>FUTURE</v>
      </c>
      <c r="D85" s="55" t="s">
        <v>1241</v>
      </c>
      <c r="E85" s="55" t="s">
        <v>513</v>
      </c>
      <c r="F85" s="83" t="s">
        <v>1221</v>
      </c>
      <c r="G85" s="209" t="s">
        <v>284</v>
      </c>
      <c r="H85" s="223" t="s">
        <v>1264</v>
      </c>
      <c r="I85" s="185" t="s">
        <v>1155</v>
      </c>
      <c r="J85" s="478" t="s">
        <v>1209</v>
      </c>
      <c r="K85" s="188">
        <v>46078</v>
      </c>
      <c r="L85" s="188">
        <v>46753</v>
      </c>
      <c r="M85" s="188">
        <v>47118</v>
      </c>
      <c r="N85" s="193">
        <f>15400000000/3</f>
        <v>5133333333.333333</v>
      </c>
      <c r="O85" s="193">
        <f>12930184136/3</f>
        <v>4310061378.666667</v>
      </c>
      <c r="P85" s="200"/>
      <c r="Q85" s="190"/>
      <c r="R85" s="195">
        <f>tProjectsMaster212[[#This Row],[Actual cost (admin)]]/tProjectsMaster212[[#This Row],[Costbased]]</f>
        <v>0</v>
      </c>
      <c r="S85" s="224"/>
      <c r="T85" s="192" t="s">
        <v>839</v>
      </c>
      <c r="U85" s="55"/>
      <c r="V85" s="78"/>
    </row>
    <row r="86" spans="1:22">
      <c r="A86" s="338" t="s">
        <v>576</v>
      </c>
      <c r="B86" s="338">
        <f>YEAR(tProjectsMaster212[[#This Row],[End Date]])</f>
        <v>2022</v>
      </c>
      <c r="C86" s="338" t="str">
        <f t="shared" ca="1" si="2"/>
        <v>CLOSED</v>
      </c>
      <c r="D86" s="55" t="s">
        <v>390</v>
      </c>
      <c r="E86" s="338" t="s">
        <v>513</v>
      </c>
      <c r="F86" s="339" t="s">
        <v>1028</v>
      </c>
      <c r="G86" s="340" t="s">
        <v>577</v>
      </c>
      <c r="H86" s="340" t="s">
        <v>1266</v>
      </c>
      <c r="I86" s="185" t="s">
        <v>1155</v>
      </c>
      <c r="J86" s="478" t="s">
        <v>1214</v>
      </c>
      <c r="K86" s="341">
        <v>44924</v>
      </c>
      <c r="L86" s="341">
        <v>44924</v>
      </c>
      <c r="M86" s="341">
        <v>44926</v>
      </c>
      <c r="N86" s="342">
        <v>0</v>
      </c>
      <c r="O86" s="342">
        <v>0</v>
      </c>
      <c r="P86" s="200"/>
      <c r="Q86" s="190"/>
      <c r="R86" s="195" t="e">
        <f>tProjectsMaster212[[#This Row],[Actual cost (admin)]]/tProjectsMaster212[[#This Row],[Costbased]]</f>
        <v>#DIV/0!</v>
      </c>
      <c r="S86" s="191"/>
      <c r="T86" s="192">
        <v>0.66</v>
      </c>
      <c r="U86" s="78"/>
      <c r="V86" s="78"/>
    </row>
    <row r="87" spans="1:22">
      <c r="A87" s="338" t="s">
        <v>576</v>
      </c>
      <c r="B87" s="338">
        <f>YEAR(tProjectsMaster212[[#This Row],[End Date]])</f>
        <v>2023</v>
      </c>
      <c r="C87" s="338" t="str">
        <f t="shared" ca="1" si="2"/>
        <v>CLOSED</v>
      </c>
      <c r="D87" s="55" t="s">
        <v>390</v>
      </c>
      <c r="E87" s="338" t="s">
        <v>513</v>
      </c>
      <c r="F87" s="339" t="s">
        <v>1028</v>
      </c>
      <c r="G87" s="340" t="s">
        <v>577</v>
      </c>
      <c r="H87" s="340" t="s">
        <v>1266</v>
      </c>
      <c r="I87" s="185" t="s">
        <v>1155</v>
      </c>
      <c r="J87" s="478" t="s">
        <v>1214</v>
      </c>
      <c r="K87" s="341">
        <v>44924</v>
      </c>
      <c r="L87" s="341">
        <v>44927</v>
      </c>
      <c r="M87" s="341">
        <v>45291</v>
      </c>
      <c r="N87" s="342">
        <f>18200000000/5</f>
        <v>3640000000</v>
      </c>
      <c r="O87" s="342">
        <f>10000000+20000000+1000000+502640000+(8017520000/5)</f>
        <v>2137144000</v>
      </c>
      <c r="P87" s="366">
        <f>5525000000+375000000+312000000</f>
        <v>6212000000</v>
      </c>
      <c r="Q87" s="217"/>
      <c r="R87" s="195">
        <f>tProjectsMaster212[[#This Row],[Actual cost (admin)]]/tProjectsMaster212[[#This Row],[Costbased]]</f>
        <v>0</v>
      </c>
      <c r="S87" s="191"/>
      <c r="T87" s="192">
        <v>0.66</v>
      </c>
      <c r="U87" s="78"/>
      <c r="V87" s="78"/>
    </row>
    <row r="88" spans="1:22" ht="14.4">
      <c r="A88" s="338" t="s">
        <v>576</v>
      </c>
      <c r="B88" s="338">
        <f>YEAR(tProjectsMaster212[[#This Row],[End Date]])</f>
        <v>2024</v>
      </c>
      <c r="C88" s="338" t="str">
        <f t="shared" ca="1" si="2"/>
        <v>CLOSED</v>
      </c>
      <c r="D88" s="55" t="s">
        <v>390</v>
      </c>
      <c r="E88" s="338" t="s">
        <v>513</v>
      </c>
      <c r="F88" s="339" t="s">
        <v>1028</v>
      </c>
      <c r="G88" s="340" t="s">
        <v>577</v>
      </c>
      <c r="H88" s="340" t="s">
        <v>1266</v>
      </c>
      <c r="I88" s="185" t="s">
        <v>1155</v>
      </c>
      <c r="J88" s="478" t="s">
        <v>1214</v>
      </c>
      <c r="K88" s="341">
        <v>44924</v>
      </c>
      <c r="L88" s="341">
        <v>45292</v>
      </c>
      <c r="M88" s="341">
        <v>45657</v>
      </c>
      <c r="N88" s="342">
        <f>18200000000/5</f>
        <v>3640000000</v>
      </c>
      <c r="O88" s="342">
        <f>(8017520000/5)+(1680960000/4)</f>
        <v>2023744000</v>
      </c>
      <c r="P88" s="367">
        <v>312000000</v>
      </c>
      <c r="Q88" s="222"/>
      <c r="R88" s="195">
        <f>tProjectsMaster212[[#This Row],[Actual cost (admin)]]/tProjectsMaster212[[#This Row],[Costbased]]</f>
        <v>0</v>
      </c>
      <c r="S88" s="191"/>
      <c r="T88" s="192">
        <v>0.66</v>
      </c>
      <c r="U88" s="78"/>
      <c r="V88" s="78"/>
    </row>
    <row r="89" spans="1:22" ht="14.4">
      <c r="A89" s="338" t="s">
        <v>576</v>
      </c>
      <c r="B89" s="338">
        <f>YEAR(tProjectsMaster212[[#This Row],[End Date]])</f>
        <v>2025</v>
      </c>
      <c r="C89" s="338" t="str">
        <f t="shared" ca="1" si="2"/>
        <v>CLOSED</v>
      </c>
      <c r="D89" s="55" t="s">
        <v>390</v>
      </c>
      <c r="E89" s="338" t="s">
        <v>513</v>
      </c>
      <c r="F89" s="339" t="s">
        <v>1028</v>
      </c>
      <c r="G89" s="340" t="s">
        <v>577</v>
      </c>
      <c r="H89" s="340" t="s">
        <v>1266</v>
      </c>
      <c r="I89" s="185" t="s">
        <v>1155</v>
      </c>
      <c r="J89" s="478" t="s">
        <v>1214</v>
      </c>
      <c r="K89" s="341">
        <v>44924</v>
      </c>
      <c r="L89" s="341">
        <v>45658</v>
      </c>
      <c r="M89" s="341">
        <v>46022</v>
      </c>
      <c r="N89" s="342">
        <f>18200000000/5</f>
        <v>3640000000</v>
      </c>
      <c r="O89" s="342">
        <f>(8017520000/5)+(1680960000/4)</f>
        <v>2023744000</v>
      </c>
      <c r="P89" s="367">
        <v>312000000</v>
      </c>
      <c r="Q89" s="222"/>
      <c r="R89" s="195">
        <f>tProjectsMaster212[[#This Row],[Actual cost (admin)]]/tProjectsMaster212[[#This Row],[Costbased]]</f>
        <v>0</v>
      </c>
      <c r="S89" s="191"/>
      <c r="T89" s="192">
        <v>0.66</v>
      </c>
      <c r="U89" s="78"/>
      <c r="V89" s="78"/>
    </row>
    <row r="90" spans="1:22" ht="14.4">
      <c r="A90" s="55" t="s">
        <v>576</v>
      </c>
      <c r="B90" s="55">
        <f>YEAR(tProjectsMaster212[[#This Row],[End Date]])</f>
        <v>2026</v>
      </c>
      <c r="C90" s="55" t="str">
        <f t="shared" ca="1" si="2"/>
        <v>ON GOING</v>
      </c>
      <c r="D90" s="55" t="s">
        <v>390</v>
      </c>
      <c r="E90" s="55" t="s">
        <v>513</v>
      </c>
      <c r="F90" s="83" t="s">
        <v>1028</v>
      </c>
      <c r="G90" s="78" t="s">
        <v>577</v>
      </c>
      <c r="H90" s="78" t="s">
        <v>1266</v>
      </c>
      <c r="I90" s="185" t="s">
        <v>1155</v>
      </c>
      <c r="J90" s="478" t="s">
        <v>1214</v>
      </c>
      <c r="K90" s="188">
        <v>44924</v>
      </c>
      <c r="L90" s="188">
        <v>46023</v>
      </c>
      <c r="M90" s="188">
        <v>46387</v>
      </c>
      <c r="N90" s="193">
        <f>18200000000/5</f>
        <v>3640000000</v>
      </c>
      <c r="O90" s="193">
        <f>(8017520000/5)+(1680960000/4)</f>
        <v>2023744000</v>
      </c>
      <c r="P90" s="367">
        <v>312000000</v>
      </c>
      <c r="Q90" s="225">
        <f>SUMIF('REALISASI 2026'!$C$7:$C$1048576,tProjectsMaster212[[#This Row],[Project_ID]],'REALISASI 2026'!$I$7:$I$1048576)</f>
        <v>312000000</v>
      </c>
      <c r="R90" s="238">
        <f>tProjectsMaster212[[#This Row],[Actual cost (admin)]]/tProjectsMaster212[[#This Row],[Costbased]]</f>
        <v>0.15416969735302488</v>
      </c>
      <c r="S90" s="191"/>
      <c r="T90" s="192">
        <v>0.66</v>
      </c>
      <c r="U90" s="78"/>
      <c r="V90" s="78"/>
    </row>
    <row r="91" spans="1:22" ht="14.4">
      <c r="A91" s="55" t="s">
        <v>576</v>
      </c>
      <c r="B91" s="55">
        <f>YEAR(tProjectsMaster212[[#This Row],[End Date]])</f>
        <v>2027</v>
      </c>
      <c r="C91" s="55" t="str">
        <f t="shared" ca="1" si="2"/>
        <v>FUTURE</v>
      </c>
      <c r="D91" s="55" t="s">
        <v>390</v>
      </c>
      <c r="E91" s="55" t="s">
        <v>513</v>
      </c>
      <c r="F91" s="339" t="s">
        <v>1028</v>
      </c>
      <c r="G91" s="78" t="s">
        <v>577</v>
      </c>
      <c r="H91" s="78" t="s">
        <v>1266</v>
      </c>
      <c r="I91" s="185" t="s">
        <v>1155</v>
      </c>
      <c r="J91" s="478" t="s">
        <v>1214</v>
      </c>
      <c r="K91" s="188">
        <v>44924</v>
      </c>
      <c r="L91" s="188">
        <v>46388</v>
      </c>
      <c r="M91" s="188">
        <v>46749</v>
      </c>
      <c r="N91" s="193">
        <f>18200000000/5</f>
        <v>3640000000</v>
      </c>
      <c r="O91" s="193">
        <f>(8017520000/5)+(1680960000/4)</f>
        <v>2023744000</v>
      </c>
      <c r="P91" s="367">
        <v>312000000</v>
      </c>
      <c r="Q91" s="222"/>
      <c r="R91" s="195">
        <f>tProjectsMaster212[[#This Row],[Actual cost (admin)]]/tProjectsMaster212[[#This Row],[Costbased]]</f>
        <v>0</v>
      </c>
      <c r="S91" s="191"/>
      <c r="T91" s="192">
        <v>0.66</v>
      </c>
      <c r="U91" s="78"/>
      <c r="V91" s="78"/>
    </row>
    <row r="92" spans="1:22">
      <c r="A92" s="338" t="s">
        <v>411</v>
      </c>
      <c r="B92" s="338">
        <f>YEAR(tProjectsMaster212[[#This Row],[End Date]])</f>
        <v>2025</v>
      </c>
      <c r="C92" s="338" t="str">
        <f t="shared" ca="1" si="2"/>
        <v>CLOSED</v>
      </c>
      <c r="D92" s="55" t="s">
        <v>1215</v>
      </c>
      <c r="E92" s="338" t="s">
        <v>513</v>
      </c>
      <c r="F92" s="83" t="s">
        <v>1259</v>
      </c>
      <c r="G92" s="340" t="s">
        <v>579</v>
      </c>
      <c r="H92" s="340" t="s">
        <v>1267</v>
      </c>
      <c r="I92" s="340" t="s">
        <v>435</v>
      </c>
      <c r="J92" s="338" t="s">
        <v>1214</v>
      </c>
      <c r="K92" s="341">
        <v>45657</v>
      </c>
      <c r="L92" s="341">
        <v>45658</v>
      </c>
      <c r="M92" s="341">
        <v>46022</v>
      </c>
      <c r="N92" s="342">
        <v>20019023471</v>
      </c>
      <c r="O92" s="342">
        <v>19452012822</v>
      </c>
      <c r="P92" s="200"/>
      <c r="Q92" s="200"/>
      <c r="R92" s="207">
        <f>tProjectsMaster212[[#This Row],[Actual cost (admin)]]/tProjectsMaster212[[#This Row],[Costbased]]</f>
        <v>0</v>
      </c>
      <c r="S92" s="191"/>
      <c r="T92" s="192">
        <v>0.71240000000000003</v>
      </c>
      <c r="U92" s="78"/>
      <c r="V92" s="78"/>
    </row>
    <row r="93" spans="1:22" s="15" customFormat="1">
      <c r="A93" s="55" t="s">
        <v>411</v>
      </c>
      <c r="B93" s="55">
        <f>YEAR(tProjectsMaster212[[#This Row],[End Date]])</f>
        <v>2026</v>
      </c>
      <c r="C93" s="55" t="str">
        <f t="shared" ca="1" si="2"/>
        <v>ON GOING</v>
      </c>
      <c r="D93" s="55" t="s">
        <v>1215</v>
      </c>
      <c r="E93" s="55" t="s">
        <v>513</v>
      </c>
      <c r="F93" s="83" t="s">
        <v>1259</v>
      </c>
      <c r="G93" s="78" t="s">
        <v>581</v>
      </c>
      <c r="H93" s="78" t="s">
        <v>1268</v>
      </c>
      <c r="I93" s="78" t="s">
        <v>435</v>
      </c>
      <c r="J93" s="55" t="s">
        <v>1214</v>
      </c>
      <c r="K93" s="188">
        <v>46078</v>
      </c>
      <c r="L93" s="188">
        <v>46023</v>
      </c>
      <c r="M93" s="188">
        <v>46387</v>
      </c>
      <c r="N93" s="193">
        <v>23950000000</v>
      </c>
      <c r="O93" s="193">
        <v>22563728241</v>
      </c>
      <c r="P93" s="200"/>
      <c r="Q93" s="202">
        <f>SUMIF('REALISASI 2026'!$C$7:$C$1048576,tProjectsMaster212[[#This Row],[Project_ID]],'REALISASI 2026'!$I$7:$I$1048576)</f>
        <v>8815073119</v>
      </c>
      <c r="R93" s="207">
        <f>tProjectsMaster212[[#This Row],[Actual cost (admin)]]/tProjectsMaster212[[#This Row],[Costbased]]</f>
        <v>0.39067449425234368</v>
      </c>
      <c r="S93" s="191"/>
      <c r="T93" s="192">
        <v>0.64300000000000002</v>
      </c>
      <c r="U93" s="78"/>
      <c r="V93" s="78"/>
    </row>
    <row r="94" spans="1:22">
      <c r="A94" s="338" t="s">
        <v>373</v>
      </c>
      <c r="B94" s="338">
        <f>YEAR(tProjectsMaster212[[#This Row],[End Date]])</f>
        <v>2025</v>
      </c>
      <c r="C94" s="338" t="str">
        <f t="shared" ca="1" si="2"/>
        <v>CLOSED</v>
      </c>
      <c r="D94" s="55" t="s">
        <v>1208</v>
      </c>
      <c r="E94" s="338" t="s">
        <v>513</v>
      </c>
      <c r="F94" s="83" t="s">
        <v>1259</v>
      </c>
      <c r="G94" s="353" t="s">
        <v>583</v>
      </c>
      <c r="H94" s="340" t="s">
        <v>1269</v>
      </c>
      <c r="I94" s="340" t="s">
        <v>435</v>
      </c>
      <c r="J94" s="338" t="s">
        <v>1214</v>
      </c>
      <c r="K94" s="341">
        <v>45717</v>
      </c>
      <c r="L94" s="341">
        <v>45717</v>
      </c>
      <c r="M94" s="341">
        <v>46022</v>
      </c>
      <c r="N94" s="342">
        <f>ROUNDUP(59000000000/12,1)*10</f>
        <v>49166666667.000008</v>
      </c>
      <c r="O94" s="342">
        <f>51530901364/12*10</f>
        <v>42942417803.333336</v>
      </c>
      <c r="P94" s="200">
        <v>20653294878</v>
      </c>
      <c r="Q94" s="190"/>
      <c r="R94" s="195">
        <f>tProjectsMaster212[[#This Row],[Actual cost (admin)]]/tProjectsMaster212[[#This Row],[Costbased]]</f>
        <v>0</v>
      </c>
      <c r="S94" s="191"/>
      <c r="T94" s="192">
        <v>0.59179999999999999</v>
      </c>
      <c r="U94" s="55"/>
      <c r="V94" s="78"/>
    </row>
    <row r="95" spans="1:22">
      <c r="A95" s="55" t="s">
        <v>373</v>
      </c>
      <c r="B95" s="55">
        <f>YEAR(tProjectsMaster212[[#This Row],[End Date]])</f>
        <v>2026</v>
      </c>
      <c r="C95" s="55" t="str">
        <f t="shared" ca="1" si="2"/>
        <v>ON GOING</v>
      </c>
      <c r="D95" s="55" t="s">
        <v>1208</v>
      </c>
      <c r="E95" s="55" t="s">
        <v>513</v>
      </c>
      <c r="F95" s="83" t="s">
        <v>1259</v>
      </c>
      <c r="G95" s="209" t="s">
        <v>583</v>
      </c>
      <c r="H95" s="78" t="s">
        <v>1269</v>
      </c>
      <c r="I95" s="78" t="s">
        <v>435</v>
      </c>
      <c r="J95" s="55" t="s">
        <v>1214</v>
      </c>
      <c r="K95" s="188">
        <v>45717</v>
      </c>
      <c r="L95" s="188">
        <v>46023</v>
      </c>
      <c r="M95" s="188">
        <v>46387</v>
      </c>
      <c r="N95" s="193">
        <f>ROUNDUP(59000000000/12,1)*12</f>
        <v>59000000000.400009</v>
      </c>
      <c r="O95" s="193">
        <f>51530901364</f>
        <v>51530901364</v>
      </c>
      <c r="P95" s="200"/>
      <c r="Q95" s="202">
        <f>SUMIF('REALISASI 2026'!$C$7:$C$1048576,tProjectsMaster212[[#This Row],[Project_ID]],'REALISASI 2026'!$I$7:$I$1048576)</f>
        <v>14455190465.096647</v>
      </c>
      <c r="R95" s="207">
        <f>tProjectsMaster212[[#This Row],[Actual cost (admin)]]/tProjectsMaster212[[#This Row],[Costbased]]</f>
        <v>0.28051499357616877</v>
      </c>
      <c r="S95" s="226"/>
      <c r="T95" s="192">
        <v>0.59179999999999999</v>
      </c>
      <c r="U95" s="55"/>
      <c r="V95" s="78"/>
    </row>
    <row r="96" spans="1:22">
      <c r="A96" s="55" t="s">
        <v>373</v>
      </c>
      <c r="B96" s="55">
        <f>YEAR(tProjectsMaster212[[#This Row],[End Date]])</f>
        <v>2027</v>
      </c>
      <c r="C96" s="55" t="str">
        <f t="shared" ca="1" si="2"/>
        <v>FUTURE</v>
      </c>
      <c r="D96" s="55" t="s">
        <v>1208</v>
      </c>
      <c r="E96" s="55" t="s">
        <v>513</v>
      </c>
      <c r="F96" s="83" t="s">
        <v>1259</v>
      </c>
      <c r="G96" s="209" t="s">
        <v>583</v>
      </c>
      <c r="H96" s="78" t="s">
        <v>1269</v>
      </c>
      <c r="I96" s="78" t="s">
        <v>435</v>
      </c>
      <c r="J96" s="55" t="s">
        <v>1214</v>
      </c>
      <c r="K96" s="188">
        <v>45717</v>
      </c>
      <c r="L96" s="188">
        <v>46388</v>
      </c>
      <c r="M96" s="188">
        <v>46752</v>
      </c>
      <c r="N96" s="193">
        <f>ROUNDUP(59000000000/12,1)*12</f>
        <v>59000000000.400009</v>
      </c>
      <c r="O96" s="193">
        <f>51530901364</f>
        <v>51530901364</v>
      </c>
      <c r="P96" s="200"/>
      <c r="Q96" s="190"/>
      <c r="R96" s="195">
        <f>tProjectsMaster212[[#This Row],[Actual cost (admin)]]/tProjectsMaster212[[#This Row],[Costbased]]</f>
        <v>0</v>
      </c>
      <c r="S96" s="191"/>
      <c r="T96" s="192">
        <v>0.59179999999999999</v>
      </c>
      <c r="U96" s="55"/>
      <c r="V96" s="78"/>
    </row>
    <row r="97" spans="1:22">
      <c r="A97" s="55" t="s">
        <v>373</v>
      </c>
      <c r="B97" s="55">
        <f>YEAR(tProjectsMaster212[[#This Row],[End Date]])</f>
        <v>2028</v>
      </c>
      <c r="C97" s="55" t="str">
        <f t="shared" ca="1" si="2"/>
        <v>FUTURE</v>
      </c>
      <c r="D97" s="55" t="s">
        <v>1208</v>
      </c>
      <c r="E97" s="55" t="s">
        <v>513</v>
      </c>
      <c r="F97" s="83" t="s">
        <v>1259</v>
      </c>
      <c r="G97" s="209" t="s">
        <v>583</v>
      </c>
      <c r="H97" s="78" t="s">
        <v>1269</v>
      </c>
      <c r="I97" s="78" t="s">
        <v>435</v>
      </c>
      <c r="J97" s="55" t="s">
        <v>1214</v>
      </c>
      <c r="K97" s="188">
        <v>45717</v>
      </c>
      <c r="L97" s="188">
        <v>46753</v>
      </c>
      <c r="M97" s="188">
        <v>46812</v>
      </c>
      <c r="N97" s="193">
        <f>ROUNDUP(59000000000/12,1)*2</f>
        <v>9833333333.4000015</v>
      </c>
      <c r="O97" s="193">
        <f>51530901364/12*2</f>
        <v>8588483560.666667</v>
      </c>
      <c r="P97" s="200"/>
      <c r="Q97" s="190"/>
      <c r="R97" s="195">
        <f>tProjectsMaster212[[#This Row],[Actual cost (admin)]]/tProjectsMaster212[[#This Row],[Costbased]]</f>
        <v>0</v>
      </c>
      <c r="S97" s="191"/>
      <c r="T97" s="192">
        <v>0.59179999999999999</v>
      </c>
      <c r="U97" s="55"/>
      <c r="V97" s="78"/>
    </row>
    <row r="98" spans="1:22">
      <c r="A98" s="55" t="s">
        <v>585</v>
      </c>
      <c r="B98" s="55">
        <f>YEAR(tProjectsMaster212[[#This Row],[End Date]])</f>
        <v>2026</v>
      </c>
      <c r="C98" s="55" t="str">
        <f t="shared" ca="1" si="2"/>
        <v>ON GOING</v>
      </c>
      <c r="D98" s="55" t="s">
        <v>1215</v>
      </c>
      <c r="E98" s="55" t="s">
        <v>513</v>
      </c>
      <c r="F98" s="83" t="s">
        <v>1028</v>
      </c>
      <c r="G98" s="78" t="s">
        <v>243</v>
      </c>
      <c r="H98" s="78" t="s">
        <v>1270</v>
      </c>
      <c r="I98" s="185" t="s">
        <v>1155</v>
      </c>
      <c r="J98" s="478" t="s">
        <v>1214</v>
      </c>
      <c r="K98" s="188">
        <v>45979</v>
      </c>
      <c r="L98" s="188">
        <v>46023</v>
      </c>
      <c r="M98" s="188">
        <v>46387</v>
      </c>
      <c r="N98" s="193">
        <v>1200000000</v>
      </c>
      <c r="O98" s="193">
        <v>1038528000</v>
      </c>
      <c r="P98" s="200">
        <f>52000000*12</f>
        <v>624000000</v>
      </c>
      <c r="Q98" s="202">
        <f>SUMIF('REALISASI 2026'!$C$7:$C$1048576,tProjectsMaster212[[#This Row],[Project_ID]],'REALISASI 2026'!$I$7:$I$1048576)</f>
        <v>0</v>
      </c>
      <c r="R98" s="207">
        <f>tProjectsMaster212[[#This Row],[Actual cost (admin)]]/tProjectsMaster212[[#This Row],[Costbased]]</f>
        <v>0</v>
      </c>
      <c r="S98" s="191"/>
      <c r="T98" s="192">
        <v>0.77410000000000001</v>
      </c>
      <c r="U98" s="78"/>
      <c r="V98" s="78"/>
    </row>
    <row r="99" spans="1:22">
      <c r="A99" s="338" t="s">
        <v>429</v>
      </c>
      <c r="B99" s="338">
        <f>YEAR(tProjectsMaster212[[#This Row],[End Date]])</f>
        <v>2025</v>
      </c>
      <c r="C99" s="338" t="str">
        <f t="shared" ref="C99:C130" ca="1" si="3">IF(L99&gt;TODAY(),"FUTURE",IF(M99&gt;TODAY(),"ON GOING","CLOSED"))</f>
        <v>CLOSED</v>
      </c>
      <c r="D99" s="55" t="s">
        <v>1212</v>
      </c>
      <c r="E99" s="338" t="s">
        <v>513</v>
      </c>
      <c r="F99" s="83" t="s">
        <v>1028</v>
      </c>
      <c r="G99" s="340" t="s">
        <v>587</v>
      </c>
      <c r="H99" s="349" t="s">
        <v>1271</v>
      </c>
      <c r="I99" s="185" t="s">
        <v>1155</v>
      </c>
      <c r="J99" s="478" t="s">
        <v>1209</v>
      </c>
      <c r="K99" s="345">
        <v>45975</v>
      </c>
      <c r="L99" s="341">
        <v>45972</v>
      </c>
      <c r="M99" s="341">
        <v>46022</v>
      </c>
      <c r="N99" s="342">
        <f>730000000*10%</f>
        <v>73000000</v>
      </c>
      <c r="O99" s="342">
        <f>658568600*10%</f>
        <v>65856860</v>
      </c>
      <c r="P99" s="200"/>
      <c r="Q99" s="200"/>
      <c r="R99" s="207">
        <f>tProjectsMaster212[[#This Row],[Actual cost (admin)]]/tProjectsMaster212[[#This Row],[Costbased]]</f>
        <v>0</v>
      </c>
      <c r="S99" s="191"/>
      <c r="T99" s="192" t="s">
        <v>840</v>
      </c>
      <c r="U99" s="78"/>
      <c r="V99" s="78"/>
    </row>
    <row r="100" spans="1:22">
      <c r="A100" s="55" t="s">
        <v>429</v>
      </c>
      <c r="B100" s="55">
        <f>YEAR(tProjectsMaster212[[#This Row],[End Date]])</f>
        <v>2026</v>
      </c>
      <c r="C100" s="55" t="str">
        <f t="shared" ca="1" si="3"/>
        <v>ON GOING</v>
      </c>
      <c r="D100" s="55" t="s">
        <v>1212</v>
      </c>
      <c r="E100" s="55" t="s">
        <v>513</v>
      </c>
      <c r="F100" s="83" t="s">
        <v>1028</v>
      </c>
      <c r="G100" s="78" t="s">
        <v>587</v>
      </c>
      <c r="H100" s="185" t="s">
        <v>1271</v>
      </c>
      <c r="I100" s="185" t="s">
        <v>1155</v>
      </c>
      <c r="J100" s="478" t="s">
        <v>1209</v>
      </c>
      <c r="K100" s="208">
        <v>45975</v>
      </c>
      <c r="L100" s="188">
        <v>45972</v>
      </c>
      <c r="M100" s="188">
        <v>46387</v>
      </c>
      <c r="N100" s="193">
        <f>730000000*90%</f>
        <v>657000000</v>
      </c>
      <c r="O100" s="193">
        <f>658568600*90%</f>
        <v>592711740</v>
      </c>
      <c r="P100" s="200">
        <f>SUMIF('REALISASI 2026'!$C$7:$C$1048576,tProjectsMaster212[[#This Row],[Project_ID]],'REALISASI 2026'!$I$7:$I$1048576)</f>
        <v>54585707</v>
      </c>
      <c r="Q100" s="202">
        <f>SUMIF('REALISASI 2026'!$C$7:$C$1048576,tProjectsMaster212[[#This Row],[Project_ID]],'REALISASI 2026'!$I$7:$I$1048576)</f>
        <v>54585707</v>
      </c>
      <c r="R100" s="207">
        <f>tProjectsMaster212[[#This Row],[Actual cost (admin)]]/tProjectsMaster212[[#This Row],[Costbased]]</f>
        <v>9.2094863854054923E-2</v>
      </c>
      <c r="S100" s="218"/>
      <c r="T100" s="192" t="s">
        <v>840</v>
      </c>
      <c r="U100" s="78"/>
      <c r="V100" s="78"/>
    </row>
    <row r="101" spans="1:22">
      <c r="A101" s="55" t="s">
        <v>424</v>
      </c>
      <c r="B101" s="55">
        <f>YEAR(tProjectsMaster212[[#This Row],[End Date]])</f>
        <v>2026</v>
      </c>
      <c r="C101" s="55" t="str">
        <f t="shared" ca="1" si="3"/>
        <v>ON GOING</v>
      </c>
      <c r="D101" s="173"/>
      <c r="E101" s="55" t="s">
        <v>513</v>
      </c>
      <c r="F101" s="83" t="s">
        <v>1028</v>
      </c>
      <c r="G101" s="78" t="s">
        <v>321</v>
      </c>
      <c r="H101" s="185" t="s">
        <v>1272</v>
      </c>
      <c r="I101" s="185" t="s">
        <v>1155</v>
      </c>
      <c r="J101" s="478" t="s">
        <v>1214</v>
      </c>
      <c r="K101" s="188">
        <v>46098</v>
      </c>
      <c r="L101" s="188">
        <v>46098</v>
      </c>
      <c r="M101" s="188">
        <v>46387</v>
      </c>
      <c r="N101" s="193">
        <v>687000000</v>
      </c>
      <c r="O101" s="193">
        <v>603157803</v>
      </c>
      <c r="P101" s="200">
        <f>SUMIF('REALISASI 2026'!$C$7:$C$1048576,tProjectsMaster212[[#This Row],[Project_ID]],'REALISASI 2026'!$I$7:$I$1048576)</f>
        <v>490011608</v>
      </c>
      <c r="Q101" s="202">
        <f>SUMIF('REALISASI 2026'!$C$7:$C$1048576,tProjectsMaster212[[#This Row],[Project_ID]],'REALISASI 2026'!$I$7:$I$1048576)</f>
        <v>490011608</v>
      </c>
      <c r="R101" s="207">
        <f>tProjectsMaster212[[#This Row],[Actual cost (admin)]]/tProjectsMaster212[[#This Row],[Costbased]]</f>
        <v>0.81241029389451502</v>
      </c>
      <c r="S101" s="191"/>
      <c r="T101" s="192">
        <v>0.96350000000000002</v>
      </c>
      <c r="U101" s="78"/>
      <c r="V101" s="78"/>
    </row>
    <row r="102" spans="1:22">
      <c r="A102" s="338" t="s">
        <v>422</v>
      </c>
      <c r="B102" s="338">
        <f>YEAR(tProjectsMaster212[[#This Row],[End Date]])</f>
        <v>2025</v>
      </c>
      <c r="C102" s="338" t="str">
        <f t="shared" ca="1" si="3"/>
        <v>CLOSED</v>
      </c>
      <c r="D102" s="55" t="s">
        <v>1215</v>
      </c>
      <c r="E102" s="338" t="s">
        <v>513</v>
      </c>
      <c r="F102" s="83" t="s">
        <v>1028</v>
      </c>
      <c r="G102" s="340" t="s">
        <v>590</v>
      </c>
      <c r="H102" s="349" t="s">
        <v>1273</v>
      </c>
      <c r="I102" s="185" t="s">
        <v>1155</v>
      </c>
      <c r="J102" s="478" t="s">
        <v>1214</v>
      </c>
      <c r="K102" s="341">
        <v>45656</v>
      </c>
      <c r="L102" s="341">
        <v>45658</v>
      </c>
      <c r="M102" s="341">
        <v>46022</v>
      </c>
      <c r="N102" s="342">
        <f>23300000000/3</f>
        <v>7766666666.666667</v>
      </c>
      <c r="O102" s="342">
        <f>19526318328/3</f>
        <v>6508772776</v>
      </c>
      <c r="P102" s="200"/>
      <c r="Q102" s="200"/>
      <c r="R102" s="207">
        <f>tProjectsMaster212[[#This Row],[Actual cost (admin)]]/tProjectsMaster212[[#This Row],[Costbased]]</f>
        <v>0</v>
      </c>
      <c r="S102" s="191"/>
      <c r="T102" s="192" t="s">
        <v>841</v>
      </c>
      <c r="U102" s="78"/>
      <c r="V102" s="78"/>
    </row>
    <row r="103" spans="1:22">
      <c r="A103" s="55" t="s">
        <v>422</v>
      </c>
      <c r="B103" s="55">
        <f>YEAR(tProjectsMaster212[[#This Row],[End Date]])</f>
        <v>2026</v>
      </c>
      <c r="C103" s="55" t="str">
        <f t="shared" ca="1" si="3"/>
        <v>ON GOING</v>
      </c>
      <c r="D103" s="55" t="s">
        <v>1215</v>
      </c>
      <c r="E103" s="55" t="s">
        <v>513</v>
      </c>
      <c r="F103" s="83" t="s">
        <v>1028</v>
      </c>
      <c r="G103" s="78" t="s">
        <v>590</v>
      </c>
      <c r="H103" s="185" t="s">
        <v>1273</v>
      </c>
      <c r="I103" s="185" t="s">
        <v>1155</v>
      </c>
      <c r="J103" s="478" t="s">
        <v>1214</v>
      </c>
      <c r="K103" s="188">
        <v>45656</v>
      </c>
      <c r="L103" s="188">
        <v>46023</v>
      </c>
      <c r="M103" s="188">
        <v>46387</v>
      </c>
      <c r="N103" s="213">
        <f>23300000000/3</f>
        <v>7766666666.666667</v>
      </c>
      <c r="O103" s="193">
        <f>19526318328/3</f>
        <v>6508772776</v>
      </c>
      <c r="P103" s="200"/>
      <c r="Q103" s="202">
        <f>SUMIF('REALISASI 2026'!$C$7:$C$1048576,tProjectsMaster212[[#This Row],[Project_ID]],'REALISASI 2026'!$I$7:$I$1048576)</f>
        <v>560175910</v>
      </c>
      <c r="R103" s="207">
        <f>tProjectsMaster212[[#This Row],[Actual cost (admin)]]/tProjectsMaster212[[#This Row],[Costbased]]</f>
        <v>8.6064751263948566E-2</v>
      </c>
      <c r="S103" s="191"/>
      <c r="T103" s="192" t="s">
        <v>841</v>
      </c>
      <c r="U103" s="78"/>
      <c r="V103" s="78"/>
    </row>
    <row r="104" spans="1:22">
      <c r="A104" s="55" t="s">
        <v>422</v>
      </c>
      <c r="B104" s="55">
        <f>YEAR(tProjectsMaster212[[#This Row],[End Date]])</f>
        <v>2027</v>
      </c>
      <c r="C104" s="55" t="str">
        <f t="shared" ca="1" si="3"/>
        <v>FUTURE</v>
      </c>
      <c r="D104" s="55" t="s">
        <v>1215</v>
      </c>
      <c r="E104" s="55" t="s">
        <v>513</v>
      </c>
      <c r="F104" s="83" t="s">
        <v>1028</v>
      </c>
      <c r="G104" s="78" t="s">
        <v>590</v>
      </c>
      <c r="H104" s="185" t="s">
        <v>1273</v>
      </c>
      <c r="I104" s="185" t="s">
        <v>1155</v>
      </c>
      <c r="J104" s="478" t="s">
        <v>1214</v>
      </c>
      <c r="K104" s="188">
        <v>45656</v>
      </c>
      <c r="L104" s="188">
        <v>46388</v>
      </c>
      <c r="M104" s="188">
        <v>46752</v>
      </c>
      <c r="N104" s="213">
        <f>23300000000/3</f>
        <v>7766666666.666667</v>
      </c>
      <c r="O104" s="193">
        <f>19526318328/3</f>
        <v>6508772776</v>
      </c>
      <c r="P104" s="200"/>
      <c r="Q104" s="200"/>
      <c r="R104" s="207">
        <f>tProjectsMaster212[[#This Row],[Actual cost (admin)]]/tProjectsMaster212[[#This Row],[Costbased]]</f>
        <v>0</v>
      </c>
      <c r="S104" s="191"/>
      <c r="T104" s="192" t="s">
        <v>841</v>
      </c>
      <c r="U104" s="78"/>
      <c r="V104" s="78"/>
    </row>
    <row r="105" spans="1:22">
      <c r="A105" s="182" t="s">
        <v>592</v>
      </c>
      <c r="B105" s="55">
        <f>YEAR(tProjectsMaster212[[#This Row],[End Date]])</f>
        <v>2026</v>
      </c>
      <c r="C105" s="55" t="str">
        <f t="shared" ca="1" si="3"/>
        <v>ON GOING</v>
      </c>
      <c r="D105" s="55" t="s">
        <v>390</v>
      </c>
      <c r="E105" s="55" t="s">
        <v>513</v>
      </c>
      <c r="F105" s="83" t="s">
        <v>860</v>
      </c>
      <c r="G105" s="209" t="s">
        <v>593</v>
      </c>
      <c r="H105" s="78" t="s">
        <v>1274</v>
      </c>
      <c r="I105" s="185" t="s">
        <v>1155</v>
      </c>
      <c r="J105" s="478" t="s">
        <v>1209</v>
      </c>
      <c r="K105" s="188">
        <v>45972</v>
      </c>
      <c r="L105" s="188">
        <v>46023</v>
      </c>
      <c r="M105" s="188">
        <v>46387</v>
      </c>
      <c r="N105" s="193">
        <f>815000000/3</f>
        <v>271666666.66666669</v>
      </c>
      <c r="O105" s="193">
        <f>640362240/3</f>
        <v>213454080</v>
      </c>
      <c r="P105" s="200">
        <f>423504000/3</f>
        <v>141168000</v>
      </c>
      <c r="Q105" s="202">
        <f>SUMIF('REALISASI 2026'!$C$7:$C$1048576,tProjectsMaster212[[#This Row],[Project_ID]],'REALISASI 2026'!$I$7:$I$1048576)</f>
        <v>0</v>
      </c>
      <c r="R105" s="207">
        <f>tProjectsMaster212[[#This Row],[Actual cost (admin)]]/tProjectsMaster212[[#This Row],[Costbased]]</f>
        <v>0</v>
      </c>
      <c r="S105" s="191"/>
      <c r="T105" s="192">
        <v>7.5700000000000003E-2</v>
      </c>
      <c r="U105" s="55"/>
      <c r="V105" s="78"/>
    </row>
    <row r="106" spans="1:22">
      <c r="A106" s="182" t="s">
        <v>592</v>
      </c>
      <c r="B106" s="55">
        <f>YEAR(tProjectsMaster212[[#This Row],[End Date]])</f>
        <v>2027</v>
      </c>
      <c r="C106" s="55" t="str">
        <f t="shared" ca="1" si="3"/>
        <v>FUTURE</v>
      </c>
      <c r="D106" s="55" t="s">
        <v>390</v>
      </c>
      <c r="E106" s="55" t="s">
        <v>513</v>
      </c>
      <c r="F106" s="83" t="s">
        <v>860</v>
      </c>
      <c r="G106" s="209" t="s">
        <v>593</v>
      </c>
      <c r="H106" s="78" t="s">
        <v>1274</v>
      </c>
      <c r="I106" s="185" t="s">
        <v>1155</v>
      </c>
      <c r="J106" s="478" t="s">
        <v>1209</v>
      </c>
      <c r="K106" s="188">
        <v>45972</v>
      </c>
      <c r="L106" s="188">
        <v>46388</v>
      </c>
      <c r="M106" s="188">
        <v>46752</v>
      </c>
      <c r="N106" s="193">
        <f>815000000/3</f>
        <v>271666666.66666669</v>
      </c>
      <c r="O106" s="193">
        <f>640362240/3</f>
        <v>213454080</v>
      </c>
      <c r="P106" s="200">
        <f>423504000/3</f>
        <v>141168000</v>
      </c>
      <c r="Q106" s="190"/>
      <c r="R106" s="195">
        <f>tProjectsMaster212[[#This Row],[Actual cost (admin)]]/tProjectsMaster212[[#This Row],[Costbased]]</f>
        <v>0</v>
      </c>
      <c r="S106" s="191"/>
      <c r="T106" s="192">
        <v>7.5700000000000003E-2</v>
      </c>
      <c r="U106" s="55"/>
      <c r="V106" s="78"/>
    </row>
    <row r="107" spans="1:22">
      <c r="A107" s="182" t="s">
        <v>592</v>
      </c>
      <c r="B107" s="55">
        <f>YEAR(tProjectsMaster212[[#This Row],[End Date]])</f>
        <v>2028</v>
      </c>
      <c r="C107" s="55" t="str">
        <f t="shared" ca="1" si="3"/>
        <v>FUTURE</v>
      </c>
      <c r="D107" s="55" t="s">
        <v>390</v>
      </c>
      <c r="E107" s="55" t="s">
        <v>513</v>
      </c>
      <c r="F107" s="83" t="s">
        <v>860</v>
      </c>
      <c r="G107" s="209" t="s">
        <v>593</v>
      </c>
      <c r="H107" s="78" t="s">
        <v>1274</v>
      </c>
      <c r="I107" s="185" t="s">
        <v>1155</v>
      </c>
      <c r="J107" s="478" t="s">
        <v>1209</v>
      </c>
      <c r="K107" s="188">
        <v>45972</v>
      </c>
      <c r="L107" s="188">
        <v>46753</v>
      </c>
      <c r="M107" s="188">
        <v>47108</v>
      </c>
      <c r="N107" s="193">
        <f>815000000/3</f>
        <v>271666666.66666669</v>
      </c>
      <c r="O107" s="193">
        <f>640362240/3</f>
        <v>213454080</v>
      </c>
      <c r="P107" s="200">
        <f>423504000/3</f>
        <v>141168000</v>
      </c>
      <c r="Q107" s="190"/>
      <c r="R107" s="195">
        <f>tProjectsMaster212[[#This Row],[Actual cost (admin)]]/tProjectsMaster212[[#This Row],[Costbased]]</f>
        <v>0</v>
      </c>
      <c r="S107" s="191"/>
      <c r="T107" s="192">
        <v>7.5700000000000003E-2</v>
      </c>
      <c r="U107" s="55"/>
      <c r="V107" s="78"/>
    </row>
    <row r="108" spans="1:22">
      <c r="A108" s="338" t="s">
        <v>396</v>
      </c>
      <c r="B108" s="338">
        <f>YEAR(tProjectsMaster212[[#This Row],[End Date]])</f>
        <v>2023</v>
      </c>
      <c r="C108" s="338" t="str">
        <f t="shared" ca="1" si="3"/>
        <v>CLOSED</v>
      </c>
      <c r="D108" s="55" t="s">
        <v>1275</v>
      </c>
      <c r="E108" s="338" t="s">
        <v>513</v>
      </c>
      <c r="F108" s="339" t="s">
        <v>1028</v>
      </c>
      <c r="G108" s="340" t="s">
        <v>595</v>
      </c>
      <c r="H108" s="340" t="s">
        <v>1276</v>
      </c>
      <c r="I108" s="185" t="s">
        <v>1155</v>
      </c>
      <c r="J108" s="478" t="s">
        <v>1209</v>
      </c>
      <c r="K108" s="341">
        <v>45208</v>
      </c>
      <c r="L108" s="341">
        <v>45208</v>
      </c>
      <c r="M108" s="341">
        <v>45291</v>
      </c>
      <c r="N108" s="342">
        <v>5342000000</v>
      </c>
      <c r="O108" s="342">
        <f>(5640176485/12)*3</f>
        <v>1410044121.25</v>
      </c>
      <c r="P108" s="200">
        <f>(22035000000/60)*3</f>
        <v>1101750000</v>
      </c>
      <c r="Q108" s="190"/>
      <c r="R108" s="195">
        <f>tProjectsMaster212[[#This Row],[Actual cost (admin)]]/tProjectsMaster212[[#This Row],[Costbased]]</f>
        <v>0</v>
      </c>
      <c r="S108" s="191" t="s">
        <v>1277</v>
      </c>
      <c r="T108" s="192">
        <v>0.46920000000000001</v>
      </c>
      <c r="U108" s="78"/>
      <c r="V108" s="78"/>
    </row>
    <row r="109" spans="1:22">
      <c r="A109" s="338" t="s">
        <v>396</v>
      </c>
      <c r="B109" s="338">
        <f>YEAR(tProjectsMaster212[[#This Row],[End Date]])</f>
        <v>2024</v>
      </c>
      <c r="C109" s="338" t="str">
        <f t="shared" ca="1" si="3"/>
        <v>CLOSED</v>
      </c>
      <c r="D109" s="55" t="s">
        <v>1275</v>
      </c>
      <c r="E109" s="338" t="s">
        <v>513</v>
      </c>
      <c r="F109" s="339" t="s">
        <v>1028</v>
      </c>
      <c r="G109" s="340" t="s">
        <v>595</v>
      </c>
      <c r="H109" s="340" t="s">
        <v>1276</v>
      </c>
      <c r="I109" s="185" t="s">
        <v>1155</v>
      </c>
      <c r="J109" s="478" t="s">
        <v>1209</v>
      </c>
      <c r="K109" s="341">
        <v>45208</v>
      </c>
      <c r="L109" s="341">
        <v>45292</v>
      </c>
      <c r="M109" s="341">
        <v>45657</v>
      </c>
      <c r="N109" s="342">
        <v>5342000000</v>
      </c>
      <c r="O109" s="342">
        <f>((4726082385/12)*3)+((5640176485/12)*9)</f>
        <v>5411652960</v>
      </c>
      <c r="P109" s="200">
        <f>(22035000000/60)*12</f>
        <v>4407000000</v>
      </c>
      <c r="Q109" s="190"/>
      <c r="R109" s="195">
        <f>tProjectsMaster212[[#This Row],[Actual cost (admin)]]/tProjectsMaster212[[#This Row],[Costbased]]</f>
        <v>0</v>
      </c>
      <c r="S109" s="191" t="s">
        <v>1277</v>
      </c>
      <c r="T109" s="192">
        <v>0.46920000000000001</v>
      </c>
      <c r="U109" s="78"/>
      <c r="V109" s="78"/>
    </row>
    <row r="110" spans="1:22">
      <c r="A110" s="338" t="s">
        <v>396</v>
      </c>
      <c r="B110" s="338">
        <f>YEAR(tProjectsMaster212[[#This Row],[End Date]])</f>
        <v>2025</v>
      </c>
      <c r="C110" s="338" t="str">
        <f t="shared" ca="1" si="3"/>
        <v>CLOSED</v>
      </c>
      <c r="D110" s="55" t="s">
        <v>1275</v>
      </c>
      <c r="E110" s="338" t="s">
        <v>513</v>
      </c>
      <c r="F110" s="339" t="s">
        <v>1028</v>
      </c>
      <c r="G110" s="340" t="s">
        <v>595</v>
      </c>
      <c r="H110" s="340" t="s">
        <v>1276</v>
      </c>
      <c r="I110" s="185" t="s">
        <v>1155</v>
      </c>
      <c r="J110" s="478" t="s">
        <v>1209</v>
      </c>
      <c r="K110" s="341">
        <v>45208</v>
      </c>
      <c r="L110" s="341">
        <v>45658</v>
      </c>
      <c r="M110" s="341">
        <v>46022</v>
      </c>
      <c r="N110" s="342">
        <v>5342000000</v>
      </c>
      <c r="O110" s="342">
        <f>((4726082385/12)*3)+((4726082385/12)*9)</f>
        <v>4726082385</v>
      </c>
      <c r="P110" s="200">
        <f>(22035000000/60)*12</f>
        <v>4407000000</v>
      </c>
      <c r="Q110" s="190"/>
      <c r="R110" s="195">
        <f>tProjectsMaster212[[#This Row],[Actual cost (admin)]]/tProjectsMaster212[[#This Row],[Costbased]]</f>
        <v>0</v>
      </c>
      <c r="S110" s="191" t="s">
        <v>1277</v>
      </c>
      <c r="T110" s="192">
        <v>0.46920000000000001</v>
      </c>
      <c r="U110" s="78"/>
      <c r="V110" s="78"/>
    </row>
    <row r="111" spans="1:22">
      <c r="A111" s="55" t="s">
        <v>396</v>
      </c>
      <c r="B111" s="55">
        <f>YEAR(tProjectsMaster212[[#This Row],[End Date]])</f>
        <v>2026</v>
      </c>
      <c r="C111" s="55" t="str">
        <f t="shared" ca="1" si="3"/>
        <v>ON GOING</v>
      </c>
      <c r="D111" s="55" t="s">
        <v>1275</v>
      </c>
      <c r="E111" s="55" t="s">
        <v>513</v>
      </c>
      <c r="F111" s="83" t="s">
        <v>1028</v>
      </c>
      <c r="G111" s="78" t="s">
        <v>595</v>
      </c>
      <c r="H111" s="78" t="s">
        <v>1276</v>
      </c>
      <c r="I111" s="185" t="s">
        <v>1155</v>
      </c>
      <c r="J111" s="478" t="s">
        <v>1209</v>
      </c>
      <c r="K111" s="188">
        <v>45208</v>
      </c>
      <c r="L111" s="188">
        <v>46023</v>
      </c>
      <c r="M111" s="188">
        <v>46387</v>
      </c>
      <c r="N111" s="193">
        <v>5628331867</v>
      </c>
      <c r="O111" s="193">
        <f>((4726082385/12)*3)+((4726082385/12)*9)+560000000</f>
        <v>5286082385</v>
      </c>
      <c r="P111" s="200">
        <f>(22035000000/60)*12+(495000000+57000000)</f>
        <v>4959000000</v>
      </c>
      <c r="Q111" s="202">
        <f>SUMIF('REALISASI 2026'!$C$7:$C$1048576,tProjectsMaster212[[#This Row],[Project_ID]],'REALISASI 2026'!$I$7:$I$1048576)</f>
        <v>2260500000</v>
      </c>
      <c r="R111" s="207">
        <f>tProjectsMaster212[[#This Row],[Actual cost (admin)]]/tProjectsMaster212[[#This Row],[Costbased]]</f>
        <v>0.42763238166973822</v>
      </c>
      <c r="S111" s="191" t="s">
        <v>1277</v>
      </c>
      <c r="T111" s="192">
        <v>0.46920000000000001</v>
      </c>
      <c r="U111" s="78"/>
      <c r="V111" s="78"/>
    </row>
    <row r="112" spans="1:22">
      <c r="A112" s="55" t="s">
        <v>396</v>
      </c>
      <c r="B112" s="55">
        <f>YEAR(tProjectsMaster212[[#This Row],[End Date]])</f>
        <v>2027</v>
      </c>
      <c r="C112" s="55" t="str">
        <f t="shared" ca="1" si="3"/>
        <v>FUTURE</v>
      </c>
      <c r="D112" s="55" t="s">
        <v>1275</v>
      </c>
      <c r="E112" s="55" t="s">
        <v>513</v>
      </c>
      <c r="F112" s="339" t="s">
        <v>1028</v>
      </c>
      <c r="G112" s="78" t="s">
        <v>595</v>
      </c>
      <c r="H112" s="78" t="s">
        <v>1276</v>
      </c>
      <c r="I112" s="185" t="s">
        <v>1155</v>
      </c>
      <c r="J112" s="478" t="s">
        <v>1209</v>
      </c>
      <c r="K112" s="188">
        <v>45208</v>
      </c>
      <c r="L112" s="188">
        <v>46388</v>
      </c>
      <c r="M112" s="188">
        <v>46752</v>
      </c>
      <c r="N112" s="193">
        <v>2957331867</v>
      </c>
      <c r="O112" s="193">
        <f>((4726082385/12)*3)+((4726082385/12)*9)</f>
        <v>4726082385</v>
      </c>
      <c r="P112" s="200">
        <f>(22035000000/60)*12</f>
        <v>4407000000</v>
      </c>
      <c r="Q112" s="190"/>
      <c r="R112" s="195">
        <f>tProjectsMaster212[[#This Row],[Actual cost (admin)]]/tProjectsMaster212[[#This Row],[Costbased]]</f>
        <v>0</v>
      </c>
      <c r="S112" s="191" t="s">
        <v>1277</v>
      </c>
      <c r="T112" s="192">
        <v>0.46920000000000001</v>
      </c>
      <c r="U112" s="78"/>
      <c r="V112" s="78"/>
    </row>
    <row r="113" spans="1:22">
      <c r="A113" s="55" t="s">
        <v>396</v>
      </c>
      <c r="B113" s="55">
        <f>YEAR(tProjectsMaster212[[#This Row],[End Date]])</f>
        <v>2028</v>
      </c>
      <c r="C113" s="55" t="str">
        <f t="shared" ca="1" si="3"/>
        <v>FUTURE</v>
      </c>
      <c r="D113" s="55" t="s">
        <v>1275</v>
      </c>
      <c r="E113" s="55" t="s">
        <v>513</v>
      </c>
      <c r="F113" s="339" t="s">
        <v>1028</v>
      </c>
      <c r="G113" s="78" t="s">
        <v>595</v>
      </c>
      <c r="H113" s="78" t="s">
        <v>1276</v>
      </c>
      <c r="I113" s="185" t="s">
        <v>1155</v>
      </c>
      <c r="J113" s="478" t="s">
        <v>1209</v>
      </c>
      <c r="K113" s="188">
        <v>45208</v>
      </c>
      <c r="L113" s="188">
        <v>46753</v>
      </c>
      <c r="M113" s="188">
        <v>47034</v>
      </c>
      <c r="N113" s="213">
        <v>2957331867</v>
      </c>
      <c r="O113" s="193">
        <f>((4726082385/12)*9)</f>
        <v>3544561788.75</v>
      </c>
      <c r="P113" s="200">
        <f>(22035000000/60)*9</f>
        <v>3305250000</v>
      </c>
      <c r="Q113" s="190"/>
      <c r="R113" s="195">
        <f>tProjectsMaster212[[#This Row],[Actual cost (admin)]]/tProjectsMaster212[[#This Row],[Costbased]]</f>
        <v>0</v>
      </c>
      <c r="S113" s="191" t="s">
        <v>1277</v>
      </c>
      <c r="T113" s="192">
        <v>0.46920000000000001</v>
      </c>
      <c r="U113" s="78"/>
      <c r="V113" s="78"/>
    </row>
    <row r="114" spans="1:22" ht="27.6" hidden="1">
      <c r="A114" s="182" t="s">
        <v>427</v>
      </c>
      <c r="B114" s="182">
        <f>YEAR(tProjectsMaster212[[#This Row],[End Date]])</f>
        <v>2026</v>
      </c>
      <c r="C114" s="182" t="str">
        <f t="shared" ca="1" si="3"/>
        <v>ON GOING</v>
      </c>
      <c r="D114" s="227"/>
      <c r="E114" s="55" t="s">
        <v>513</v>
      </c>
      <c r="F114" s="83" t="s">
        <v>1028</v>
      </c>
      <c r="G114" s="228" t="s">
        <v>323</v>
      </c>
      <c r="H114" s="184" t="s">
        <v>1278</v>
      </c>
      <c r="I114" s="185" t="s">
        <v>1155</v>
      </c>
      <c r="J114" s="478" t="s">
        <v>1214</v>
      </c>
      <c r="K114" s="186" t="s">
        <v>842</v>
      </c>
      <c r="L114" s="188">
        <v>46113</v>
      </c>
      <c r="M114" s="212">
        <v>46387</v>
      </c>
      <c r="N114" s="193">
        <v>1083990690</v>
      </c>
      <c r="O114" s="213">
        <v>942599718</v>
      </c>
      <c r="P114" s="229"/>
      <c r="Q114" s="202">
        <f>SUMIF('REALISASI 2026'!$C$7:$C$1048576,tProjectsMaster212[[#This Row],[Project_ID]],'REALISASI 2026'!$I$7:$I$1048576)</f>
        <v>69864804</v>
      </c>
      <c r="R114" s="207">
        <f>tProjectsMaster212[[#This Row],[Actual cost (admin)]]/tProjectsMaster212[[#This Row],[Costbased]]</f>
        <v>7.4119271060507572E-2</v>
      </c>
      <c r="S114" s="203"/>
      <c r="T114" s="204"/>
      <c r="U114" s="183" t="s">
        <v>1279</v>
      </c>
      <c r="V114" s="78"/>
    </row>
    <row r="115" spans="1:22">
      <c r="A115" s="182" t="s">
        <v>597</v>
      </c>
      <c r="B115" s="182">
        <f>YEAR(tProjectsMaster212[[#This Row],[End Date]])</f>
        <v>2026</v>
      </c>
      <c r="C115" s="182" t="str">
        <f t="shared" ca="1" si="3"/>
        <v>ON GOING</v>
      </c>
      <c r="D115" s="227"/>
      <c r="E115" s="55" t="s">
        <v>513</v>
      </c>
      <c r="F115" s="83" t="s">
        <v>1028</v>
      </c>
      <c r="G115" s="228" t="s">
        <v>325</v>
      </c>
      <c r="H115" s="183" t="s">
        <v>1280</v>
      </c>
      <c r="I115" s="185" t="s">
        <v>1155</v>
      </c>
      <c r="J115" s="478" t="s">
        <v>1214</v>
      </c>
      <c r="K115" s="212">
        <v>46128</v>
      </c>
      <c r="L115" s="188">
        <v>46113</v>
      </c>
      <c r="M115" s="212">
        <v>46387</v>
      </c>
      <c r="N115" s="193">
        <v>131500000</v>
      </c>
      <c r="O115" s="213">
        <v>113323716</v>
      </c>
      <c r="P115" s="229"/>
      <c r="Q115" s="202">
        <f>SUMIF('REALISASI 2026'!$C$7:$C$1048576,tProjectsMaster212[[#This Row],[Project_ID]],'REALISASI 2026'!$I$7:$I$1048576)</f>
        <v>0</v>
      </c>
      <c r="R115" s="207">
        <f>tProjectsMaster212[[#This Row],[Actual cost (admin)]]/tProjectsMaster212[[#This Row],[Costbased]]</f>
        <v>0</v>
      </c>
      <c r="S115" s="203"/>
      <c r="T115" s="204">
        <v>0.86609999999999998</v>
      </c>
      <c r="U115" s="183"/>
      <c r="V115" s="78"/>
    </row>
    <row r="116" spans="1:22">
      <c r="A116" s="182" t="s">
        <v>599</v>
      </c>
      <c r="B116" s="182">
        <f>YEAR(tProjectsMaster212[[#This Row],[End Date]])</f>
        <v>2026</v>
      </c>
      <c r="C116" s="182" t="str">
        <f t="shared" ca="1" si="3"/>
        <v>ON GOING</v>
      </c>
      <c r="D116" s="182" t="s">
        <v>1281</v>
      </c>
      <c r="E116" s="55" t="s">
        <v>513</v>
      </c>
      <c r="F116" s="83" t="s">
        <v>1028</v>
      </c>
      <c r="G116" s="183" t="s">
        <v>600</v>
      </c>
      <c r="H116" s="183" t="s">
        <v>1282</v>
      </c>
      <c r="I116" s="185" t="s">
        <v>1155</v>
      </c>
      <c r="J116" s="478" t="s">
        <v>1214</v>
      </c>
      <c r="K116" s="212">
        <v>46139</v>
      </c>
      <c r="L116" s="188">
        <v>46023</v>
      </c>
      <c r="M116" s="188">
        <v>46387</v>
      </c>
      <c r="N116" s="189">
        <v>1200000000</v>
      </c>
      <c r="O116" s="189">
        <f>1636936400-104940000-167586000</f>
        <v>1364410400</v>
      </c>
      <c r="P116" s="200"/>
      <c r="Q116" s="202">
        <f>SUMIF('REALISASI 2026'!$C$7:$C$1048576,tProjectsMaster212[[#This Row],[Project_ID]],'REALISASI 2026'!$I$7:$I$1048576)</f>
        <v>0</v>
      </c>
      <c r="R116" s="207">
        <f>tProjectsMaster212[[#This Row],[Actual cost (admin)]]/tProjectsMaster212[[#This Row],[Costbased]]</f>
        <v>0</v>
      </c>
      <c r="S116" s="319" t="s">
        <v>497</v>
      </c>
      <c r="T116" s="192">
        <v>0.57020000000000004</v>
      </c>
      <c r="U116" s="78"/>
      <c r="V116" s="78"/>
    </row>
    <row r="117" spans="1:22">
      <c r="A117" s="55" t="s">
        <v>418</v>
      </c>
      <c r="B117" s="55">
        <f>YEAR(tProjectsMaster212[[#This Row],[End Date]])</f>
        <v>2026</v>
      </c>
      <c r="C117" s="55" t="str">
        <f t="shared" ca="1" si="3"/>
        <v>ON GOING</v>
      </c>
      <c r="D117" s="55" t="s">
        <v>1212</v>
      </c>
      <c r="E117" s="55" t="s">
        <v>504</v>
      </c>
      <c r="F117" s="83" t="s">
        <v>1028</v>
      </c>
      <c r="G117" s="198" t="s">
        <v>304</v>
      </c>
      <c r="H117" s="230" t="s">
        <v>1283</v>
      </c>
      <c r="I117" s="185" t="s">
        <v>1155</v>
      </c>
      <c r="J117" s="478" t="s">
        <v>1214</v>
      </c>
      <c r="K117" s="188">
        <v>46113</v>
      </c>
      <c r="L117" s="188">
        <v>46113</v>
      </c>
      <c r="M117" s="188">
        <v>46387</v>
      </c>
      <c r="N117" s="193">
        <f>(1860000000/12)*9</f>
        <v>1395000000</v>
      </c>
      <c r="O117" s="193">
        <f>137412764*9</f>
        <v>1236714876</v>
      </c>
      <c r="P117" s="200">
        <v>0</v>
      </c>
      <c r="Q117" s="202">
        <f>SUMIF('REALISASI 2026'!$C$7:$C$1048576,tProjectsMaster212[[#This Row],[Project_ID]],'REALISASI 2026'!$I$7:$I$1048576)</f>
        <v>126685357.95166667</v>
      </c>
      <c r="R117" s="207">
        <f>tProjectsMaster212[[#This Row],[Actual cost (admin)]]/tProjectsMaster212[[#This Row],[Costbased]]</f>
        <v>0.10243699692641739</v>
      </c>
      <c r="S117" s="196"/>
      <c r="T117" s="192">
        <v>0.79</v>
      </c>
      <c r="U117" s="78"/>
      <c r="V117" s="78"/>
    </row>
    <row r="118" spans="1:22">
      <c r="A118" s="55" t="s">
        <v>418</v>
      </c>
      <c r="B118" s="55">
        <f>YEAR(tProjectsMaster212[[#This Row],[End Date]])</f>
        <v>2027</v>
      </c>
      <c r="C118" s="55" t="str">
        <f t="shared" ca="1" si="3"/>
        <v>FUTURE</v>
      </c>
      <c r="D118" s="55" t="s">
        <v>1212</v>
      </c>
      <c r="E118" s="55" t="s">
        <v>504</v>
      </c>
      <c r="F118" s="83" t="s">
        <v>1028</v>
      </c>
      <c r="G118" s="198" t="s">
        <v>304</v>
      </c>
      <c r="H118" s="230" t="s">
        <v>1283</v>
      </c>
      <c r="I118" s="185" t="s">
        <v>1155</v>
      </c>
      <c r="J118" s="478" t="s">
        <v>1214</v>
      </c>
      <c r="K118" s="188">
        <v>46113</v>
      </c>
      <c r="L118" s="188">
        <v>46388</v>
      </c>
      <c r="M118" s="188">
        <v>46477</v>
      </c>
      <c r="N118" s="193">
        <f>(1860000000/12)*3</f>
        <v>465000000</v>
      </c>
      <c r="O118" s="193">
        <f>137412764*3</f>
        <v>412238292</v>
      </c>
      <c r="P118" s="197">
        <v>0</v>
      </c>
      <c r="Q118" s="197"/>
      <c r="R118" s="238">
        <f>tProjectsMaster212[[#This Row],[Actual cost (admin)]]/tProjectsMaster212[[#This Row],[Costbased]]</f>
        <v>0</v>
      </c>
      <c r="S118" s="196"/>
      <c r="T118" s="192">
        <v>0.79</v>
      </c>
      <c r="U118" s="78"/>
      <c r="V118" s="78"/>
    </row>
    <row r="119" spans="1:22" ht="27.6" hidden="1">
      <c r="A119" s="338" t="s">
        <v>603</v>
      </c>
      <c r="B119" s="338">
        <f>YEAR(tProjectsMaster212[[#This Row],[End Date]])</f>
        <v>2022</v>
      </c>
      <c r="C119" s="338" t="str">
        <f t="shared" ca="1" si="3"/>
        <v>CLOSED</v>
      </c>
      <c r="D119" s="173" t="s">
        <v>1215</v>
      </c>
      <c r="E119" s="338" t="s">
        <v>531</v>
      </c>
      <c r="F119" s="83" t="s">
        <v>1028</v>
      </c>
      <c r="G119" s="343" t="s">
        <v>604</v>
      </c>
      <c r="H119" s="340">
        <v>3900513756</v>
      </c>
      <c r="I119" s="185" t="s">
        <v>1155</v>
      </c>
      <c r="J119" s="478" t="s">
        <v>1209</v>
      </c>
      <c r="K119" s="341">
        <v>44529</v>
      </c>
      <c r="L119" s="341">
        <v>44562</v>
      </c>
      <c r="M119" s="341">
        <v>44926</v>
      </c>
      <c r="N119" s="342">
        <f>302608492+210921932+408930291+171306117+568532345</f>
        <v>1662299177</v>
      </c>
      <c r="O119" s="342">
        <f>16092588+213545000+35000000+((4262269309/48)*8)</f>
        <v>975015806.16666663</v>
      </c>
      <c r="P119" s="197"/>
      <c r="Q119" s="206"/>
      <c r="R119" s="195">
        <f>tProjectsMaster212[[#This Row],[Actual cost (admin)]]/tProjectsMaster212[[#This Row],[Costbased]]</f>
        <v>0</v>
      </c>
      <c r="S119" s="196" t="s">
        <v>1284</v>
      </c>
      <c r="T119" s="192"/>
      <c r="U119" s="78"/>
      <c r="V119" s="78"/>
    </row>
    <row r="120" spans="1:22" ht="27.6" hidden="1">
      <c r="A120" s="338" t="s">
        <v>603</v>
      </c>
      <c r="B120" s="338">
        <f>YEAR(tProjectsMaster212[[#This Row],[End Date]])</f>
        <v>2023</v>
      </c>
      <c r="C120" s="338" t="str">
        <f t="shared" ca="1" si="3"/>
        <v>CLOSED</v>
      </c>
      <c r="D120" s="173" t="s">
        <v>1215</v>
      </c>
      <c r="E120" s="338" t="s">
        <v>531</v>
      </c>
      <c r="F120" s="83" t="s">
        <v>1028</v>
      </c>
      <c r="G120" s="343" t="s">
        <v>604</v>
      </c>
      <c r="H120" s="340">
        <v>3900513756</v>
      </c>
      <c r="I120" s="185" t="s">
        <v>1155</v>
      </c>
      <c r="J120" s="478" t="s">
        <v>1209</v>
      </c>
      <c r="K120" s="341">
        <v>44529</v>
      </c>
      <c r="L120" s="341">
        <v>44927</v>
      </c>
      <c r="M120" s="341">
        <v>45291</v>
      </c>
      <c r="N120" s="342">
        <f>373053662+723267300+1096364632</f>
        <v>2192685594</v>
      </c>
      <c r="O120" s="342">
        <f>(4262269309/48)*12</f>
        <v>1065567327.25</v>
      </c>
      <c r="P120" s="197"/>
      <c r="Q120" s="206"/>
      <c r="R120" s="195">
        <f>tProjectsMaster212[[#This Row],[Actual cost (admin)]]/tProjectsMaster212[[#This Row],[Costbased]]</f>
        <v>0</v>
      </c>
      <c r="S120" s="196" t="s">
        <v>1284</v>
      </c>
      <c r="T120" s="192"/>
      <c r="U120" s="78"/>
      <c r="V120" s="78"/>
    </row>
    <row r="121" spans="1:22" ht="27.6" hidden="1">
      <c r="A121" s="338" t="s">
        <v>603</v>
      </c>
      <c r="B121" s="338">
        <f>YEAR(tProjectsMaster212[[#This Row],[End Date]])</f>
        <v>2024</v>
      </c>
      <c r="C121" s="338" t="str">
        <f t="shared" ca="1" si="3"/>
        <v>CLOSED</v>
      </c>
      <c r="D121" s="173" t="s">
        <v>1215</v>
      </c>
      <c r="E121" s="338" t="s">
        <v>531</v>
      </c>
      <c r="F121" s="83" t="s">
        <v>1028</v>
      </c>
      <c r="G121" s="343" t="s">
        <v>604</v>
      </c>
      <c r="H121" s="340">
        <v>3900513756</v>
      </c>
      <c r="I121" s="185" t="s">
        <v>1155</v>
      </c>
      <c r="J121" s="478" t="s">
        <v>1209</v>
      </c>
      <c r="K121" s="341">
        <v>44529</v>
      </c>
      <c r="L121" s="341">
        <v>45292</v>
      </c>
      <c r="M121" s="341">
        <v>45657</v>
      </c>
      <c r="N121" s="342">
        <f>386985411+770191476+1046660386</f>
        <v>2203837273</v>
      </c>
      <c r="O121" s="342">
        <f>(4262269309/48)*12</f>
        <v>1065567327.25</v>
      </c>
      <c r="P121" s="197"/>
      <c r="Q121" s="206"/>
      <c r="R121" s="195">
        <f>tProjectsMaster212[[#This Row],[Actual cost (admin)]]/tProjectsMaster212[[#This Row],[Costbased]]</f>
        <v>0</v>
      </c>
      <c r="S121" s="196" t="s">
        <v>1284</v>
      </c>
      <c r="T121" s="192"/>
      <c r="U121" s="78"/>
      <c r="V121" s="78"/>
    </row>
    <row r="122" spans="1:22" ht="27.6" hidden="1">
      <c r="A122" s="338" t="s">
        <v>603</v>
      </c>
      <c r="B122" s="338">
        <f>YEAR(tProjectsMaster212[[#This Row],[End Date]])</f>
        <v>2025</v>
      </c>
      <c r="C122" s="338" t="str">
        <f t="shared" ca="1" si="3"/>
        <v>CLOSED</v>
      </c>
      <c r="D122" s="173" t="s">
        <v>1215</v>
      </c>
      <c r="E122" s="338" t="s">
        <v>531</v>
      </c>
      <c r="F122" s="83" t="s">
        <v>1028</v>
      </c>
      <c r="G122" s="343" t="s">
        <v>604</v>
      </c>
      <c r="H122" s="340">
        <v>3900513756</v>
      </c>
      <c r="I122" s="185" t="s">
        <v>1155</v>
      </c>
      <c r="J122" s="478" t="s">
        <v>1209</v>
      </c>
      <c r="K122" s="341">
        <v>44529</v>
      </c>
      <c r="L122" s="341">
        <v>45658</v>
      </c>
      <c r="M122" s="341">
        <v>46022</v>
      </c>
      <c r="N122" s="342">
        <f>397256660+770191476+1073672951</f>
        <v>2241121087</v>
      </c>
      <c r="O122" s="342">
        <f>(4262269309/48)*12</f>
        <v>1065567327.25</v>
      </c>
      <c r="P122" s="197"/>
      <c r="Q122" s="206"/>
      <c r="R122" s="195">
        <f>tProjectsMaster212[[#This Row],[Actual cost (admin)]]/tProjectsMaster212[[#This Row],[Costbased]]</f>
        <v>0</v>
      </c>
      <c r="S122" s="196" t="s">
        <v>1284</v>
      </c>
      <c r="T122" s="192"/>
      <c r="U122" s="78"/>
      <c r="V122" s="78"/>
    </row>
    <row r="123" spans="1:22" ht="27.6" hidden="1">
      <c r="A123" s="55" t="s">
        <v>603</v>
      </c>
      <c r="B123" s="55">
        <f>YEAR(tProjectsMaster212[[#This Row],[End Date]])</f>
        <v>2026</v>
      </c>
      <c r="C123" s="55" t="str">
        <f t="shared" ca="1" si="3"/>
        <v>ON GOING</v>
      </c>
      <c r="D123" s="173" t="s">
        <v>1215</v>
      </c>
      <c r="E123" s="55" t="s">
        <v>531</v>
      </c>
      <c r="F123" s="83" t="s">
        <v>1028</v>
      </c>
      <c r="G123" s="198" t="s">
        <v>604</v>
      </c>
      <c r="H123" s="78">
        <v>3900513756</v>
      </c>
      <c r="I123" s="185" t="s">
        <v>1155</v>
      </c>
      <c r="J123" s="478" t="s">
        <v>1209</v>
      </c>
      <c r="K123" s="188">
        <v>44529</v>
      </c>
      <c r="L123" s="188">
        <v>46023</v>
      </c>
      <c r="M123" s="188">
        <v>46387</v>
      </c>
      <c r="N123" s="193">
        <f>167361013+324475430+408002280</f>
        <v>899838723</v>
      </c>
      <c r="O123" s="193">
        <f>(4262269309/48)*4</f>
        <v>355189109.08333331</v>
      </c>
      <c r="P123" s="200">
        <f>SUMIF('REALISASI 2026'!$C$7:$C$1048576,tProjectsMaster212[[#This Row],[Project_ID]],'REALISASI 2026'!$I$7:$I$1048576)</f>
        <v>1133964153</v>
      </c>
      <c r="Q123" s="202">
        <f>SUMIF('REALISASI 2026'!$C$7:$C$1048576,tProjectsMaster212[[#This Row],[Project_ID]],'REALISASI 2026'!$I$7:$I$1048576)</f>
        <v>1133964153</v>
      </c>
      <c r="R123" s="207">
        <f>tProjectsMaster212[[#This Row],[Actual cost (admin)]]/tProjectsMaster212[[#This Row],[Costbased]]</f>
        <v>3.1925645353443342</v>
      </c>
      <c r="S123" s="196" t="s">
        <v>1284</v>
      </c>
      <c r="T123" s="192"/>
      <c r="U123" s="78"/>
      <c r="V123" s="78"/>
    </row>
    <row r="124" spans="1:22" ht="27.6" hidden="1">
      <c r="A124" s="55" t="s">
        <v>603</v>
      </c>
      <c r="B124" s="55">
        <f>YEAR(tProjectsMaster212[[#This Row],[End Date]])</f>
        <v>2027</v>
      </c>
      <c r="C124" s="55" t="str">
        <f t="shared" ca="1" si="3"/>
        <v>FUTURE</v>
      </c>
      <c r="D124" s="173" t="s">
        <v>1215</v>
      </c>
      <c r="E124" s="55" t="s">
        <v>531</v>
      </c>
      <c r="F124" s="83" t="s">
        <v>1028</v>
      </c>
      <c r="G124" s="198" t="s">
        <v>604</v>
      </c>
      <c r="H124" s="78">
        <v>3900513756</v>
      </c>
      <c r="I124" s="185" t="s">
        <v>1155</v>
      </c>
      <c r="J124" s="478" t="s">
        <v>1209</v>
      </c>
      <c r="K124" s="188">
        <v>44529</v>
      </c>
      <c r="L124" s="212">
        <v>46388</v>
      </c>
      <c r="M124" s="212">
        <v>46580</v>
      </c>
      <c r="N124" s="213">
        <v>183548065</v>
      </c>
      <c r="O124" s="213">
        <v>193309900</v>
      </c>
      <c r="P124" s="368" t="s">
        <v>842</v>
      </c>
      <c r="Q124" s="206"/>
      <c r="R124" s="195">
        <f>tProjectsMaster212[[#This Row],[Actual cost (admin)]]/tProjectsMaster212[[#This Row],[Costbased]]</f>
        <v>0</v>
      </c>
      <c r="S124" s="196" t="s">
        <v>1284</v>
      </c>
      <c r="T124" s="204"/>
      <c r="U124" s="183"/>
      <c r="V124" s="78"/>
    </row>
    <row r="125" spans="1:22">
      <c r="A125" s="338" t="s">
        <v>606</v>
      </c>
      <c r="B125" s="338">
        <f>YEAR(tProjectsMaster212[[#This Row],[End Date]])</f>
        <v>2024</v>
      </c>
      <c r="C125" s="338" t="str">
        <f t="shared" ca="1" si="3"/>
        <v>CLOSED</v>
      </c>
      <c r="D125" s="173" t="s">
        <v>1215</v>
      </c>
      <c r="E125" s="338" t="s">
        <v>531</v>
      </c>
      <c r="F125" s="83" t="s">
        <v>1028</v>
      </c>
      <c r="G125" s="343" t="s">
        <v>607</v>
      </c>
      <c r="H125" s="340">
        <v>4600003902</v>
      </c>
      <c r="I125" s="185" t="s">
        <v>1155</v>
      </c>
      <c r="J125" s="478" t="s">
        <v>1209</v>
      </c>
      <c r="K125" s="341">
        <v>45301</v>
      </c>
      <c r="L125" s="341">
        <v>45327</v>
      </c>
      <c r="M125" s="341">
        <v>45657</v>
      </c>
      <c r="N125" s="342">
        <f>(((3780665902-136935000)/60)*10)+136935000</f>
        <v>744223483.66666663</v>
      </c>
      <c r="O125" s="342">
        <f>(2477132453+134922338)/5</f>
        <v>522410958.19999999</v>
      </c>
      <c r="P125" s="213">
        <f>267246000+(((1524422660+809072029+402061139+113382470+28795982+244218828)/60)*11)</f>
        <v>839604069.79999995</v>
      </c>
      <c r="Q125" s="206"/>
      <c r="R125" s="195">
        <f>tProjectsMaster212[[#This Row],[Actual cost (admin)]]/tProjectsMaster212[[#This Row],[Costbased]]</f>
        <v>0</v>
      </c>
      <c r="S125" s="196"/>
      <c r="T125" s="192">
        <v>0.71</v>
      </c>
      <c r="U125" s="78"/>
      <c r="V125" s="78"/>
    </row>
    <row r="126" spans="1:22">
      <c r="A126" s="338" t="s">
        <v>606</v>
      </c>
      <c r="B126" s="338">
        <f>YEAR(tProjectsMaster212[[#This Row],[End Date]])</f>
        <v>2025</v>
      </c>
      <c r="C126" s="338" t="str">
        <f t="shared" ca="1" si="3"/>
        <v>CLOSED</v>
      </c>
      <c r="D126" s="173" t="s">
        <v>1215</v>
      </c>
      <c r="E126" s="338" t="s">
        <v>531</v>
      </c>
      <c r="F126" s="83" t="s">
        <v>1028</v>
      </c>
      <c r="G126" s="343" t="s">
        <v>607</v>
      </c>
      <c r="H126" s="340">
        <v>4600003902</v>
      </c>
      <c r="I126" s="185" t="s">
        <v>1155</v>
      </c>
      <c r="J126" s="478" t="s">
        <v>1209</v>
      </c>
      <c r="K126" s="341">
        <v>45301</v>
      </c>
      <c r="L126" s="341">
        <v>45658</v>
      </c>
      <c r="M126" s="341">
        <v>46022</v>
      </c>
      <c r="N126" s="342">
        <f>(((3780665902-136935000)/60)*12)</f>
        <v>728746180.39999998</v>
      </c>
      <c r="O126" s="342">
        <f>(2477132453+134922338)/5</f>
        <v>522410958.19999999</v>
      </c>
      <c r="P126" s="213">
        <f>(((1524422660+809072029+402061139+113382470+28795982+244218828)/60)*12)</f>
        <v>624390621.5999999</v>
      </c>
      <c r="Q126" s="206"/>
      <c r="R126" s="195">
        <f>tProjectsMaster212[[#This Row],[Actual cost (admin)]]/tProjectsMaster212[[#This Row],[Costbased]]</f>
        <v>0</v>
      </c>
      <c r="S126" s="196"/>
      <c r="T126" s="192">
        <v>0.71</v>
      </c>
      <c r="U126" s="78"/>
      <c r="V126" s="78"/>
    </row>
    <row r="127" spans="1:22">
      <c r="A127" s="55" t="s">
        <v>606</v>
      </c>
      <c r="B127" s="55">
        <f>YEAR(tProjectsMaster212[[#This Row],[End Date]])</f>
        <v>2026</v>
      </c>
      <c r="C127" s="55" t="str">
        <f t="shared" ca="1" si="3"/>
        <v>ON GOING</v>
      </c>
      <c r="D127" s="173" t="s">
        <v>1215</v>
      </c>
      <c r="E127" s="55" t="s">
        <v>531</v>
      </c>
      <c r="F127" s="83" t="s">
        <v>1028</v>
      </c>
      <c r="G127" s="198" t="s">
        <v>607</v>
      </c>
      <c r="H127" s="78">
        <v>4600003902</v>
      </c>
      <c r="I127" s="185" t="s">
        <v>1155</v>
      </c>
      <c r="J127" s="478" t="s">
        <v>1209</v>
      </c>
      <c r="K127" s="188">
        <v>45301</v>
      </c>
      <c r="L127" s="188">
        <v>46023</v>
      </c>
      <c r="M127" s="188">
        <v>46387</v>
      </c>
      <c r="N127" s="193">
        <f>(((3780665902-136935000)/60)*12)</f>
        <v>728746180.39999998</v>
      </c>
      <c r="O127" s="193">
        <f>(2477132453+134922338)/5</f>
        <v>522410958.19999999</v>
      </c>
      <c r="P127" s="213">
        <f>(((1524422660+809072029+402061139+113382470+28795982+244218828)/60)*12)</f>
        <v>624390621.5999999</v>
      </c>
      <c r="Q127" s="202">
        <f>SUMIF('REALISASI 2026'!$C$7:$C$1048576,tProjectsMaster212[[#This Row],[Project_ID]],'REALISASI 2026'!$I$7:$I$1048576)</f>
        <v>208130208</v>
      </c>
      <c r="R127" s="207">
        <f>tProjectsMaster212[[#This Row],[Actual cost (admin)]]/tProjectsMaster212[[#This Row],[Costbased]]</f>
        <v>0.39840322017196156</v>
      </c>
      <c r="S127" s="196"/>
      <c r="T127" s="192">
        <v>0.71</v>
      </c>
      <c r="U127" s="78"/>
      <c r="V127" s="78"/>
    </row>
    <row r="128" spans="1:22">
      <c r="A128" s="55" t="s">
        <v>606</v>
      </c>
      <c r="B128" s="55">
        <f>YEAR(tProjectsMaster212[[#This Row],[End Date]])</f>
        <v>2027</v>
      </c>
      <c r="C128" s="55" t="str">
        <f t="shared" ca="1" si="3"/>
        <v>FUTURE</v>
      </c>
      <c r="D128" s="173" t="s">
        <v>1215</v>
      </c>
      <c r="E128" s="55" t="s">
        <v>531</v>
      </c>
      <c r="F128" s="83" t="s">
        <v>1028</v>
      </c>
      <c r="G128" s="198" t="s">
        <v>607</v>
      </c>
      <c r="H128" s="78">
        <v>4600003902</v>
      </c>
      <c r="I128" s="185" t="s">
        <v>1155</v>
      </c>
      <c r="J128" s="478" t="s">
        <v>1209</v>
      </c>
      <c r="K128" s="188">
        <v>45301</v>
      </c>
      <c r="L128" s="188">
        <v>46388</v>
      </c>
      <c r="M128" s="188">
        <v>46752</v>
      </c>
      <c r="N128" s="193">
        <f>(((3780665902-136935000)/60)*12)</f>
        <v>728746180.39999998</v>
      </c>
      <c r="O128" s="193">
        <f>(2477132453+134922338)/5</f>
        <v>522410958.19999999</v>
      </c>
      <c r="P128" s="213">
        <f>(((1524422660+809072029+402061139+113382470+28795982+244218828)/60)*12)</f>
        <v>624390621.5999999</v>
      </c>
      <c r="Q128" s="206"/>
      <c r="R128" s="195">
        <f>tProjectsMaster212[[#This Row],[Actual cost (admin)]]/tProjectsMaster212[[#This Row],[Costbased]]</f>
        <v>0</v>
      </c>
      <c r="S128" s="196"/>
      <c r="T128" s="192">
        <v>0.71</v>
      </c>
      <c r="U128" s="78"/>
      <c r="V128" s="78"/>
    </row>
    <row r="129" spans="1:22">
      <c r="A129" s="55" t="s">
        <v>606</v>
      </c>
      <c r="B129" s="55">
        <f>YEAR(tProjectsMaster212[[#This Row],[End Date]])</f>
        <v>2028</v>
      </c>
      <c r="C129" s="55" t="str">
        <f t="shared" ca="1" si="3"/>
        <v>FUTURE</v>
      </c>
      <c r="D129" s="173" t="s">
        <v>1215</v>
      </c>
      <c r="E129" s="55" t="s">
        <v>531</v>
      </c>
      <c r="F129" s="83" t="s">
        <v>1028</v>
      </c>
      <c r="G129" s="198" t="s">
        <v>607</v>
      </c>
      <c r="H129" s="78">
        <v>4600003902</v>
      </c>
      <c r="I129" s="185" t="s">
        <v>1155</v>
      </c>
      <c r="J129" s="478" t="s">
        <v>1209</v>
      </c>
      <c r="K129" s="188">
        <v>45301</v>
      </c>
      <c r="L129" s="188">
        <v>46753</v>
      </c>
      <c r="M129" s="188">
        <v>47118</v>
      </c>
      <c r="N129" s="193">
        <f>(((3780665902-136935000)/60)*12)</f>
        <v>728746180.39999998</v>
      </c>
      <c r="O129" s="193">
        <f>(2477132453+134922338)/5</f>
        <v>522410958.19999999</v>
      </c>
      <c r="P129" s="213">
        <f>(((1524422660+809072029+402061139+113382470+28795982+244218828)/60)*12)</f>
        <v>624390621.5999999</v>
      </c>
      <c r="Q129" s="206"/>
      <c r="R129" s="195">
        <f>tProjectsMaster212[[#This Row],[Actual cost (admin)]]/tProjectsMaster212[[#This Row],[Costbased]]</f>
        <v>0</v>
      </c>
      <c r="S129" s="196"/>
      <c r="T129" s="192">
        <v>0.71</v>
      </c>
      <c r="U129" s="78"/>
      <c r="V129" s="78"/>
    </row>
    <row r="130" spans="1:22">
      <c r="A130" s="55" t="s">
        <v>606</v>
      </c>
      <c r="B130" s="55">
        <f>YEAR(tProjectsMaster212[[#This Row],[End Date]])</f>
        <v>2029</v>
      </c>
      <c r="C130" s="55" t="str">
        <f t="shared" ca="1" si="3"/>
        <v>FUTURE</v>
      </c>
      <c r="D130" s="173" t="s">
        <v>1215</v>
      </c>
      <c r="E130" s="55" t="s">
        <v>531</v>
      </c>
      <c r="F130" s="83" t="s">
        <v>1028</v>
      </c>
      <c r="G130" s="198" t="s">
        <v>607</v>
      </c>
      <c r="H130" s="78">
        <v>4600003902</v>
      </c>
      <c r="I130" s="185" t="s">
        <v>1155</v>
      </c>
      <c r="J130" s="478" t="s">
        <v>1209</v>
      </c>
      <c r="K130" s="188">
        <v>45301</v>
      </c>
      <c r="L130" s="188">
        <v>47119</v>
      </c>
      <c r="M130" s="188">
        <v>47153</v>
      </c>
      <c r="N130" s="193">
        <f>(((3780665902-136935000)/60)*2)</f>
        <v>121457696.73333333</v>
      </c>
      <c r="O130" s="193" t="s">
        <v>1233</v>
      </c>
      <c r="P130" s="213">
        <f>(((1524422660+809072029+402061139+113382470+28795982+244218828)/60)*1)</f>
        <v>52032551.799999997</v>
      </c>
      <c r="Q130" s="206"/>
      <c r="R130" s="195" t="e">
        <f>tProjectsMaster212[[#This Row],[Actual cost (admin)]]/tProjectsMaster212[[#This Row],[Costbased]]</f>
        <v>#VALUE!</v>
      </c>
      <c r="S130" s="196"/>
      <c r="T130" s="192">
        <v>0.71</v>
      </c>
      <c r="U130" s="78"/>
      <c r="V130" s="78"/>
    </row>
    <row r="131" spans="1:22" hidden="1">
      <c r="A131" s="338" t="s">
        <v>609</v>
      </c>
      <c r="B131" s="338">
        <f>YEAR(tProjectsMaster212[[#This Row],[End Date]])</f>
        <v>2025</v>
      </c>
      <c r="C131" s="338" t="str">
        <f t="shared" ref="C131:C162" ca="1" si="4">IF(L131&gt;TODAY(),"FUTURE",IF(M131&gt;TODAY(),"ON GOING","CLOSED"))</f>
        <v>CLOSED</v>
      </c>
      <c r="D131" s="55" t="s">
        <v>1212</v>
      </c>
      <c r="E131" s="338" t="s">
        <v>504</v>
      </c>
      <c r="F131" s="83" t="s">
        <v>1028</v>
      </c>
      <c r="G131" s="343" t="s">
        <v>245</v>
      </c>
      <c r="H131" s="344" t="s">
        <v>1285</v>
      </c>
      <c r="I131" s="185" t="s">
        <v>1155</v>
      </c>
      <c r="J131" s="478" t="s">
        <v>1214</v>
      </c>
      <c r="K131" s="345">
        <v>45783</v>
      </c>
      <c r="L131" s="341">
        <v>45831</v>
      </c>
      <c r="M131" s="341">
        <v>46022</v>
      </c>
      <c r="N131" s="342">
        <f>78290000+((2050000+3780000)*6)</f>
        <v>113270000</v>
      </c>
      <c r="O131" s="342">
        <f>65923200+(70393921+105590882)*(6/36)</f>
        <v>95254000.5</v>
      </c>
      <c r="P131" s="197" t="s">
        <v>1286</v>
      </c>
      <c r="Q131" s="197"/>
      <c r="R131" s="238">
        <f>tProjectsMaster212[[#This Row],[Actual cost (admin)]]/tProjectsMaster212[[#This Row],[Costbased]]</f>
        <v>0</v>
      </c>
      <c r="S131" s="196"/>
      <c r="T131" s="192"/>
      <c r="U131" s="78"/>
      <c r="V131" s="78"/>
    </row>
    <row r="132" spans="1:22" hidden="1">
      <c r="A132" s="55" t="s">
        <v>609</v>
      </c>
      <c r="B132" s="55">
        <f>YEAR(tProjectsMaster212[[#This Row],[End Date]])</f>
        <v>2026</v>
      </c>
      <c r="C132" s="55" t="str">
        <f t="shared" ca="1" si="4"/>
        <v>ON GOING</v>
      </c>
      <c r="D132" s="55" t="s">
        <v>1212</v>
      </c>
      <c r="E132" s="55" t="s">
        <v>504</v>
      </c>
      <c r="F132" s="83" t="s">
        <v>1028</v>
      </c>
      <c r="G132" s="198" t="s">
        <v>245</v>
      </c>
      <c r="H132" s="230" t="s">
        <v>1285</v>
      </c>
      <c r="I132" s="185" t="s">
        <v>1155</v>
      </c>
      <c r="J132" s="478" t="s">
        <v>1214</v>
      </c>
      <c r="K132" s="208">
        <v>45783</v>
      </c>
      <c r="L132" s="188">
        <v>46023</v>
      </c>
      <c r="M132" s="188">
        <v>46387</v>
      </c>
      <c r="N132" s="193">
        <f>(2050000+3780000)*12</f>
        <v>69960000</v>
      </c>
      <c r="O132" s="193">
        <f>(70393921+105590882)*(12/36)</f>
        <v>58661601</v>
      </c>
      <c r="P132" s="200">
        <v>0</v>
      </c>
      <c r="Q132" s="202">
        <f>SUMIF('REALISASI 2026'!$C$7:$C$1048576,tProjectsMaster212[[#This Row],[Project_ID]],'REALISASI 2026'!$I$7:$I$1048576)</f>
        <v>0</v>
      </c>
      <c r="R132" s="207">
        <f>tProjectsMaster212[[#This Row],[Actual cost (admin)]]/tProjectsMaster212[[#This Row],[Costbased]]</f>
        <v>0</v>
      </c>
      <c r="S132" s="196"/>
      <c r="T132" s="192"/>
      <c r="U132" s="78"/>
      <c r="V132" s="78"/>
    </row>
    <row r="133" spans="1:22" hidden="1">
      <c r="A133" s="55" t="s">
        <v>609</v>
      </c>
      <c r="B133" s="55">
        <f>YEAR(tProjectsMaster212[[#This Row],[End Date]])</f>
        <v>2027</v>
      </c>
      <c r="C133" s="55" t="str">
        <f t="shared" ca="1" si="4"/>
        <v>FUTURE</v>
      </c>
      <c r="D133" s="55" t="s">
        <v>1212</v>
      </c>
      <c r="E133" s="55" t="s">
        <v>504</v>
      </c>
      <c r="F133" s="83" t="s">
        <v>1028</v>
      </c>
      <c r="G133" s="198" t="s">
        <v>245</v>
      </c>
      <c r="H133" s="230" t="s">
        <v>1285</v>
      </c>
      <c r="I133" s="185" t="s">
        <v>1155</v>
      </c>
      <c r="J133" s="478" t="s">
        <v>1214</v>
      </c>
      <c r="K133" s="208">
        <v>45783</v>
      </c>
      <c r="L133" s="188">
        <v>46388</v>
      </c>
      <c r="M133" s="188">
        <v>46752</v>
      </c>
      <c r="N133" s="193">
        <f>(2050000+3780000)*12</f>
        <v>69960000</v>
      </c>
      <c r="O133" s="193">
        <f>(70393921+105590882)*(12/36)</f>
        <v>58661601</v>
      </c>
      <c r="P133" s="197">
        <v>0</v>
      </c>
      <c r="Q133" s="197"/>
      <c r="R133" s="238">
        <f>tProjectsMaster212[[#This Row],[Actual cost (admin)]]/tProjectsMaster212[[#This Row],[Costbased]]</f>
        <v>0</v>
      </c>
      <c r="S133" s="196"/>
      <c r="T133" s="192"/>
      <c r="U133" s="78"/>
      <c r="V133" s="78"/>
    </row>
    <row r="134" spans="1:22" hidden="1">
      <c r="A134" s="55" t="s">
        <v>609</v>
      </c>
      <c r="B134" s="55">
        <f>YEAR(tProjectsMaster212[[#This Row],[End Date]])</f>
        <v>2028</v>
      </c>
      <c r="C134" s="55" t="str">
        <f t="shared" ca="1" si="4"/>
        <v>FUTURE</v>
      </c>
      <c r="D134" s="55" t="s">
        <v>1212</v>
      </c>
      <c r="E134" s="55" t="s">
        <v>504</v>
      </c>
      <c r="F134" s="83" t="s">
        <v>1028</v>
      </c>
      <c r="G134" s="198" t="s">
        <v>245</v>
      </c>
      <c r="H134" s="230" t="s">
        <v>1285</v>
      </c>
      <c r="I134" s="185" t="s">
        <v>1155</v>
      </c>
      <c r="J134" s="478" t="s">
        <v>1214</v>
      </c>
      <c r="K134" s="208">
        <v>45783</v>
      </c>
      <c r="L134" s="188">
        <v>46753</v>
      </c>
      <c r="M134" s="188">
        <v>46926</v>
      </c>
      <c r="N134" s="193">
        <f>(2050000+3780000)*6</f>
        <v>34980000</v>
      </c>
      <c r="O134" s="193">
        <f>(70393921+105590882)*(6/36)</f>
        <v>29330800.5</v>
      </c>
      <c r="P134" s="197">
        <v>0</v>
      </c>
      <c r="Q134" s="197"/>
      <c r="R134" s="238">
        <f>tProjectsMaster212[[#This Row],[Actual cost (admin)]]/tProjectsMaster212[[#This Row],[Costbased]]</f>
        <v>0</v>
      </c>
      <c r="S134" s="196"/>
      <c r="T134" s="192"/>
      <c r="U134" s="78"/>
      <c r="V134" s="78"/>
    </row>
    <row r="135" spans="1:22" hidden="1">
      <c r="A135" s="55" t="s">
        <v>611</v>
      </c>
      <c r="B135" s="55">
        <f>YEAR(tProjectsMaster212[[#This Row],[End Date]])</f>
        <v>2026</v>
      </c>
      <c r="C135" s="55" t="str">
        <f t="shared" ca="1" si="4"/>
        <v>ON GOING</v>
      </c>
      <c r="D135" s="55" t="s">
        <v>390</v>
      </c>
      <c r="E135" s="55" t="s">
        <v>504</v>
      </c>
      <c r="F135" s="83" t="s">
        <v>1028</v>
      </c>
      <c r="G135" s="78" t="s">
        <v>612</v>
      </c>
      <c r="H135" s="78" t="s">
        <v>1287</v>
      </c>
      <c r="I135" s="185" t="s">
        <v>1155</v>
      </c>
      <c r="J135" s="478" t="s">
        <v>1214</v>
      </c>
      <c r="K135" s="188">
        <v>44838</v>
      </c>
      <c r="L135" s="188">
        <v>46023</v>
      </c>
      <c r="M135" s="188">
        <v>46387</v>
      </c>
      <c r="N135" s="193">
        <f>34000000*12</f>
        <v>408000000</v>
      </c>
      <c r="O135" s="189">
        <v>0</v>
      </c>
      <c r="P135" s="200">
        <f>SUMIF('REALISASI 2026'!$C$7:$C$1048576,tProjectsMaster212[[#This Row],[Project_ID]],'REALISASI 2026'!$I$7:$I$1048576)</f>
        <v>0</v>
      </c>
      <c r="Q135" s="202">
        <f>SUMIF('REALISASI 2026'!$C$7:$C$1048576,tProjectsMaster212[[#This Row],[Project_ID]],'REALISASI 2026'!$I$7:$I$1048576)</f>
        <v>0</v>
      </c>
      <c r="R135" s="207" t="e">
        <f>tProjectsMaster212[[#This Row],[Actual cost (admin)]]/tProjectsMaster212[[#This Row],[Costbased]]</f>
        <v>#DIV/0!</v>
      </c>
      <c r="S135" s="201"/>
      <c r="T135" s="192"/>
      <c r="U135" s="78"/>
      <c r="V135" s="78"/>
    </row>
    <row r="136" spans="1:22">
      <c r="A136" s="338" t="s">
        <v>614</v>
      </c>
      <c r="B136" s="338">
        <f>YEAR(tProjectsMaster212[[#This Row],[End Date]])</f>
        <v>2024</v>
      </c>
      <c r="C136" s="338" t="str">
        <f t="shared" ca="1" si="4"/>
        <v>CLOSED</v>
      </c>
      <c r="D136" s="55" t="s">
        <v>1215</v>
      </c>
      <c r="E136" s="338" t="s">
        <v>531</v>
      </c>
      <c r="F136" s="83" t="s">
        <v>1028</v>
      </c>
      <c r="G136" s="340" t="s">
        <v>615</v>
      </c>
      <c r="H136" s="340">
        <v>4600003973</v>
      </c>
      <c r="I136" s="185" t="s">
        <v>1155</v>
      </c>
      <c r="J136" s="478" t="s">
        <v>1209</v>
      </c>
      <c r="K136" s="341">
        <v>45378</v>
      </c>
      <c r="L136" s="341">
        <v>45352</v>
      </c>
      <c r="M136" s="341">
        <v>45657</v>
      </c>
      <c r="N136" s="342">
        <f>10/60*1670000000</f>
        <v>278333333.33333331</v>
      </c>
      <c r="O136" s="358">
        <f>10/60*1563862445</f>
        <v>260643740.83333331</v>
      </c>
      <c r="P136" s="200">
        <f>(1555000000/60)*10</f>
        <v>259166666.66666669</v>
      </c>
      <c r="Q136" s="200"/>
      <c r="R136" s="207">
        <f>tProjectsMaster212[[#This Row],[Actual cost (admin)]]/tProjectsMaster212[[#This Row],[Costbased]]</f>
        <v>0</v>
      </c>
      <c r="S136" s="191"/>
      <c r="T136" s="192">
        <v>0.56459999999999999</v>
      </c>
      <c r="U136" s="78"/>
      <c r="V136" s="78"/>
    </row>
    <row r="137" spans="1:22">
      <c r="A137" s="338" t="s">
        <v>614</v>
      </c>
      <c r="B137" s="338">
        <f>YEAR(tProjectsMaster212[[#This Row],[End Date]])</f>
        <v>2025</v>
      </c>
      <c r="C137" s="338" t="str">
        <f t="shared" ca="1" si="4"/>
        <v>CLOSED</v>
      </c>
      <c r="D137" s="55" t="s">
        <v>1215</v>
      </c>
      <c r="E137" s="338" t="s">
        <v>531</v>
      </c>
      <c r="F137" s="83" t="s">
        <v>1028</v>
      </c>
      <c r="G137" s="340" t="s">
        <v>615</v>
      </c>
      <c r="H137" s="340">
        <v>4600003973</v>
      </c>
      <c r="I137" s="185" t="s">
        <v>1155</v>
      </c>
      <c r="J137" s="478" t="s">
        <v>1209</v>
      </c>
      <c r="K137" s="341">
        <v>45378</v>
      </c>
      <c r="L137" s="341">
        <v>45658</v>
      </c>
      <c r="M137" s="341">
        <v>46022</v>
      </c>
      <c r="N137" s="342">
        <f>12/60*1670000000</f>
        <v>334000000</v>
      </c>
      <c r="O137" s="358">
        <f>12/60*1563862445</f>
        <v>312772489</v>
      </c>
      <c r="P137" s="200">
        <f>(1555000000/60)*12</f>
        <v>311000000</v>
      </c>
      <c r="Q137" s="200"/>
      <c r="R137" s="207">
        <f>tProjectsMaster212[[#This Row],[Actual cost (admin)]]/tProjectsMaster212[[#This Row],[Costbased]]</f>
        <v>0</v>
      </c>
      <c r="S137" s="191"/>
      <c r="T137" s="192">
        <v>0.56459999999999999</v>
      </c>
      <c r="U137" s="78"/>
      <c r="V137" s="78"/>
    </row>
    <row r="138" spans="1:22">
      <c r="A138" s="55" t="s">
        <v>614</v>
      </c>
      <c r="B138" s="55">
        <f>YEAR(tProjectsMaster212[[#This Row],[End Date]])</f>
        <v>2026</v>
      </c>
      <c r="C138" s="55" t="str">
        <f t="shared" ca="1" si="4"/>
        <v>ON GOING</v>
      </c>
      <c r="D138" s="55" t="s">
        <v>1215</v>
      </c>
      <c r="E138" s="55" t="s">
        <v>531</v>
      </c>
      <c r="F138" s="83" t="s">
        <v>1028</v>
      </c>
      <c r="G138" s="78" t="s">
        <v>615</v>
      </c>
      <c r="H138" s="78">
        <v>4600003973</v>
      </c>
      <c r="I138" s="185" t="s">
        <v>1155</v>
      </c>
      <c r="J138" s="478" t="s">
        <v>1209</v>
      </c>
      <c r="K138" s="188">
        <v>45378</v>
      </c>
      <c r="L138" s="188">
        <v>46023</v>
      </c>
      <c r="M138" s="188">
        <v>46387</v>
      </c>
      <c r="N138" s="193">
        <f>12/60*1670000000</f>
        <v>334000000</v>
      </c>
      <c r="O138" s="232">
        <f>12/60*1563862445</f>
        <v>312772489</v>
      </c>
      <c r="P138" s="200">
        <f>(1555000000/60)*12</f>
        <v>311000000</v>
      </c>
      <c r="Q138" s="202">
        <f>SUMIF('REALISASI 2026'!$C$7:$C$1048576,tProjectsMaster212[[#This Row],[Project_ID]],'REALISASI 2026'!$I$7:$I$1048576)</f>
        <v>122855945</v>
      </c>
      <c r="R138" s="207">
        <f>tProjectsMaster212[[#This Row],[Actual cost (admin)]]/tProjectsMaster212[[#This Row],[Costbased]]</f>
        <v>0.39279651926164133</v>
      </c>
      <c r="S138" s="196"/>
      <c r="T138" s="192">
        <v>0.56459999999999999</v>
      </c>
      <c r="U138" s="78"/>
      <c r="V138" s="78"/>
    </row>
    <row r="139" spans="1:22">
      <c r="A139" s="55" t="s">
        <v>614</v>
      </c>
      <c r="B139" s="55">
        <f>YEAR(tProjectsMaster212[[#This Row],[End Date]])</f>
        <v>2027</v>
      </c>
      <c r="C139" s="55" t="str">
        <f t="shared" ca="1" si="4"/>
        <v>FUTURE</v>
      </c>
      <c r="D139" s="55" t="s">
        <v>1215</v>
      </c>
      <c r="E139" s="55" t="s">
        <v>531</v>
      </c>
      <c r="F139" s="83" t="s">
        <v>1028</v>
      </c>
      <c r="G139" s="78" t="s">
        <v>615</v>
      </c>
      <c r="H139" s="78">
        <v>4600003973</v>
      </c>
      <c r="I139" s="185" t="s">
        <v>1155</v>
      </c>
      <c r="J139" s="478" t="s">
        <v>1209</v>
      </c>
      <c r="K139" s="188">
        <v>45378</v>
      </c>
      <c r="L139" s="188">
        <v>46388</v>
      </c>
      <c r="M139" s="188">
        <v>46752</v>
      </c>
      <c r="N139" s="193">
        <f>12/60*1670000000</f>
        <v>334000000</v>
      </c>
      <c r="O139" s="232">
        <f>12/60*1563862445</f>
        <v>312772489</v>
      </c>
      <c r="P139" s="200">
        <f>(1555000000/60)*12</f>
        <v>311000000</v>
      </c>
      <c r="Q139" s="197"/>
      <c r="R139" s="238">
        <f>tProjectsMaster212[[#This Row],[Actual cost (admin)]]/tProjectsMaster212[[#This Row],[Costbased]]</f>
        <v>0</v>
      </c>
      <c r="S139" s="196"/>
      <c r="T139" s="192">
        <v>0.56459999999999999</v>
      </c>
      <c r="U139" s="78"/>
      <c r="V139" s="78"/>
    </row>
    <row r="140" spans="1:22">
      <c r="A140" s="55" t="s">
        <v>614</v>
      </c>
      <c r="B140" s="55">
        <f>YEAR(tProjectsMaster212[[#This Row],[End Date]])</f>
        <v>2028</v>
      </c>
      <c r="C140" s="55" t="str">
        <f t="shared" ca="1" si="4"/>
        <v>FUTURE</v>
      </c>
      <c r="D140" s="55" t="s">
        <v>1215</v>
      </c>
      <c r="E140" s="55" t="s">
        <v>531</v>
      </c>
      <c r="F140" s="83" t="s">
        <v>1028</v>
      </c>
      <c r="G140" s="78" t="s">
        <v>615</v>
      </c>
      <c r="H140" s="78">
        <v>4600003973</v>
      </c>
      <c r="I140" s="185" t="s">
        <v>1155</v>
      </c>
      <c r="J140" s="478" t="s">
        <v>1209</v>
      </c>
      <c r="K140" s="188">
        <v>45378</v>
      </c>
      <c r="L140" s="188">
        <v>46753</v>
      </c>
      <c r="M140" s="188">
        <v>47118</v>
      </c>
      <c r="N140" s="193">
        <f>12/60*1670000000</f>
        <v>334000000</v>
      </c>
      <c r="O140" s="232">
        <f>12/60*1563862445</f>
        <v>312772489</v>
      </c>
      <c r="P140" s="200">
        <f>(1555000000/60)*12</f>
        <v>311000000</v>
      </c>
      <c r="Q140" s="197"/>
      <c r="R140" s="238">
        <f>tProjectsMaster212[[#This Row],[Actual cost (admin)]]/tProjectsMaster212[[#This Row],[Costbased]]</f>
        <v>0</v>
      </c>
      <c r="S140" s="196"/>
      <c r="T140" s="192">
        <v>0.56459999999999999</v>
      </c>
      <c r="U140" s="78"/>
      <c r="V140" s="78"/>
    </row>
    <row r="141" spans="1:22">
      <c r="A141" s="55" t="s">
        <v>614</v>
      </c>
      <c r="B141" s="55">
        <f>YEAR(tProjectsMaster212[[#This Row],[End Date]])</f>
        <v>2029</v>
      </c>
      <c r="C141" s="55" t="str">
        <f t="shared" ca="1" si="4"/>
        <v>FUTURE</v>
      </c>
      <c r="D141" s="55" t="s">
        <v>1215</v>
      </c>
      <c r="E141" s="55" t="s">
        <v>531</v>
      </c>
      <c r="F141" s="83" t="s">
        <v>1028</v>
      </c>
      <c r="G141" s="78" t="s">
        <v>615</v>
      </c>
      <c r="H141" s="78">
        <v>4600003973</v>
      </c>
      <c r="I141" s="185" t="s">
        <v>1155</v>
      </c>
      <c r="J141" s="478" t="s">
        <v>1209</v>
      </c>
      <c r="K141" s="188">
        <v>45378</v>
      </c>
      <c r="L141" s="188">
        <v>47119</v>
      </c>
      <c r="M141" s="188">
        <v>47177</v>
      </c>
      <c r="N141" s="233">
        <f>2/60*1670000000</f>
        <v>55666666.666666664</v>
      </c>
      <c r="O141" s="232">
        <f>2/60*1563862445</f>
        <v>52128748.166666664</v>
      </c>
      <c r="P141" s="200">
        <f>(1555000000/60)*2</f>
        <v>51833333.333333336</v>
      </c>
      <c r="Q141" s="197"/>
      <c r="R141" s="238">
        <f>tProjectsMaster212[[#This Row],[Actual cost (admin)]]/tProjectsMaster212[[#This Row],[Costbased]]</f>
        <v>0</v>
      </c>
      <c r="S141" s="196"/>
      <c r="T141" s="192">
        <v>0.56459999999999999</v>
      </c>
      <c r="U141" s="78"/>
      <c r="V141" s="78"/>
    </row>
    <row r="142" spans="1:22">
      <c r="A142" s="338" t="s">
        <v>388</v>
      </c>
      <c r="B142" s="338">
        <f>YEAR(tProjectsMaster212[[#This Row],[End Date]])</f>
        <v>2024</v>
      </c>
      <c r="C142" s="338" t="str">
        <f t="shared" ca="1" si="4"/>
        <v>CLOSED</v>
      </c>
      <c r="D142" s="55" t="s">
        <v>390</v>
      </c>
      <c r="E142" s="338" t="s">
        <v>504</v>
      </c>
      <c r="F142" s="83" t="s">
        <v>1259</v>
      </c>
      <c r="G142" s="340" t="s">
        <v>617</v>
      </c>
      <c r="H142" s="340" t="s">
        <v>1288</v>
      </c>
      <c r="I142" s="340" t="s">
        <v>435</v>
      </c>
      <c r="J142" s="338" t="s">
        <v>1209</v>
      </c>
      <c r="K142" s="341">
        <v>45638</v>
      </c>
      <c r="L142" s="341">
        <v>45638</v>
      </c>
      <c r="M142" s="341">
        <v>45657</v>
      </c>
      <c r="N142" s="342">
        <v>0</v>
      </c>
      <c r="O142" s="342">
        <v>0</v>
      </c>
      <c r="P142" s="200"/>
      <c r="Q142" s="190"/>
      <c r="R142" s="195" t="e">
        <f>tProjectsMaster212[[#This Row],[Actual cost (admin)]]/tProjectsMaster212[[#This Row],[Costbased]]</f>
        <v>#DIV/0!</v>
      </c>
      <c r="S142" s="191"/>
      <c r="T142" s="192">
        <v>0.75</v>
      </c>
      <c r="U142" s="78"/>
      <c r="V142" s="78"/>
    </row>
    <row r="143" spans="1:22">
      <c r="A143" s="338" t="s">
        <v>388</v>
      </c>
      <c r="B143" s="338">
        <f>YEAR(tProjectsMaster212[[#This Row],[End Date]])</f>
        <v>2025</v>
      </c>
      <c r="C143" s="338" t="str">
        <f t="shared" ca="1" si="4"/>
        <v>CLOSED</v>
      </c>
      <c r="D143" s="55" t="s">
        <v>390</v>
      </c>
      <c r="E143" s="338" t="s">
        <v>504</v>
      </c>
      <c r="F143" s="83" t="s">
        <v>1259</v>
      </c>
      <c r="G143" s="340" t="s">
        <v>617</v>
      </c>
      <c r="H143" s="340" t="s">
        <v>1288</v>
      </c>
      <c r="I143" s="340" t="s">
        <v>435</v>
      </c>
      <c r="J143" s="338" t="s">
        <v>1209</v>
      </c>
      <c r="K143" s="341">
        <v>45638</v>
      </c>
      <c r="L143" s="341">
        <v>45658</v>
      </c>
      <c r="M143" s="341">
        <v>46022</v>
      </c>
      <c r="N143" s="342">
        <v>238880000</v>
      </c>
      <c r="O143" s="342">
        <f>(112200000/3)+(396000000/3)+16500000</f>
        <v>185900000</v>
      </c>
      <c r="P143" s="366">
        <f>15000000+(360000000/3)+(55000000)</f>
        <v>190000000</v>
      </c>
      <c r="Q143" s="217"/>
      <c r="R143" s="195">
        <f>tProjectsMaster212[[#This Row],[Actual cost (admin)]]/tProjectsMaster212[[#This Row],[Costbased]]</f>
        <v>0</v>
      </c>
      <c r="S143" s="191"/>
      <c r="T143" s="192">
        <v>0.75</v>
      </c>
      <c r="U143" s="78"/>
      <c r="V143" s="78"/>
    </row>
    <row r="144" spans="1:22" ht="14.4">
      <c r="A144" s="55" t="s">
        <v>388</v>
      </c>
      <c r="B144" s="55">
        <f>YEAR(tProjectsMaster212[[#This Row],[End Date]])</f>
        <v>2026</v>
      </c>
      <c r="C144" s="55" t="str">
        <f t="shared" ca="1" si="4"/>
        <v>ON GOING</v>
      </c>
      <c r="D144" s="55" t="s">
        <v>390</v>
      </c>
      <c r="E144" s="55" t="s">
        <v>504</v>
      </c>
      <c r="F144" s="83" t="s">
        <v>1259</v>
      </c>
      <c r="G144" s="78" t="s">
        <v>617</v>
      </c>
      <c r="H144" s="78" t="s">
        <v>1288</v>
      </c>
      <c r="I144" s="78" t="s">
        <v>435</v>
      </c>
      <c r="J144" s="55" t="s">
        <v>1209</v>
      </c>
      <c r="K144" s="188">
        <v>45638</v>
      </c>
      <c r="L144" s="188">
        <v>46023</v>
      </c>
      <c r="M144" s="188">
        <v>46387</v>
      </c>
      <c r="N144" s="193">
        <v>238880000</v>
      </c>
      <c r="O144" s="193">
        <f>(112200000/3)+(396000000/3)</f>
        <v>169400000</v>
      </c>
      <c r="P144" s="369">
        <f>(360000000/3)+((112200000/2)-55000000)</f>
        <v>121100000</v>
      </c>
      <c r="Q144" s="202">
        <f>SUMIF('REALISASI 2026'!$C$7:$C$1048576,tProjectsMaster212[[#This Row],[Project_ID]],'REALISASI 2026'!$I$7:$I$1048576)</f>
        <v>164073600</v>
      </c>
      <c r="R144" s="207">
        <f>tProjectsMaster212[[#This Row],[Actual cost (admin)]]/tProjectsMaster212[[#This Row],[Costbased]]</f>
        <v>0.96855726092089733</v>
      </c>
      <c r="S144" s="191"/>
      <c r="T144" s="192">
        <v>0.75</v>
      </c>
      <c r="U144" s="78"/>
      <c r="V144" s="78"/>
    </row>
    <row r="145" spans="1:22" ht="14.4">
      <c r="A145" s="55" t="s">
        <v>388</v>
      </c>
      <c r="B145" s="55">
        <f>YEAR(tProjectsMaster212[[#This Row],[End Date]])</f>
        <v>2027</v>
      </c>
      <c r="C145" s="55" t="str">
        <f t="shared" ca="1" si="4"/>
        <v>FUTURE</v>
      </c>
      <c r="D145" s="55" t="s">
        <v>390</v>
      </c>
      <c r="E145" s="55" t="s">
        <v>504</v>
      </c>
      <c r="F145" s="83" t="s">
        <v>1259</v>
      </c>
      <c r="G145" s="78" t="s">
        <v>617</v>
      </c>
      <c r="H145" s="78" t="s">
        <v>1288</v>
      </c>
      <c r="I145" s="78" t="s">
        <v>435</v>
      </c>
      <c r="J145" s="55" t="s">
        <v>1209</v>
      </c>
      <c r="K145" s="188">
        <v>45638</v>
      </c>
      <c r="L145" s="188">
        <v>46388</v>
      </c>
      <c r="M145" s="188">
        <v>46732</v>
      </c>
      <c r="N145" s="193">
        <v>238880000</v>
      </c>
      <c r="O145" s="193">
        <f>(112200000/3)+(396000000/3)</f>
        <v>169400000</v>
      </c>
      <c r="P145" s="369">
        <f>(360000000/3)+((112200000/2)-55000000)</f>
        <v>121100000</v>
      </c>
      <c r="Q145" s="234"/>
      <c r="R145" s="195">
        <f>tProjectsMaster212[[#This Row],[Actual cost (admin)]]/tProjectsMaster212[[#This Row],[Costbased]]</f>
        <v>0</v>
      </c>
      <c r="S145" s="196"/>
      <c r="T145" s="192">
        <v>0.75</v>
      </c>
      <c r="U145" s="78"/>
      <c r="V145" s="78"/>
    </row>
    <row r="146" spans="1:22" hidden="1">
      <c r="A146" s="55" t="s">
        <v>753</v>
      </c>
      <c r="B146" s="55">
        <f>YEAR(tProjectsMaster212[[#This Row],[End Date]])</f>
        <v>2026</v>
      </c>
      <c r="C146" s="55" t="str">
        <f t="shared" ca="1" si="4"/>
        <v>ON GOING</v>
      </c>
      <c r="D146" s="55" t="s">
        <v>1208</v>
      </c>
      <c r="E146" s="55" t="s">
        <v>502</v>
      </c>
      <c r="F146" s="83" t="s">
        <v>1028</v>
      </c>
      <c r="G146" s="78" t="s">
        <v>1289</v>
      </c>
      <c r="H146" s="78" t="s">
        <v>1290</v>
      </c>
      <c r="I146" s="185" t="s">
        <v>1155</v>
      </c>
      <c r="J146" s="478" t="s">
        <v>1209</v>
      </c>
      <c r="K146" s="188">
        <v>46209</v>
      </c>
      <c r="L146" s="188">
        <v>46209</v>
      </c>
      <c r="M146" s="188">
        <v>46301</v>
      </c>
      <c r="N146" s="193">
        <v>2097900</v>
      </c>
      <c r="O146" s="193">
        <f>90*3*4000</f>
        <v>1080000</v>
      </c>
      <c r="P146" s="193">
        <f>(4000*80)*24</f>
        <v>7680000</v>
      </c>
      <c r="Q146" s="194"/>
      <c r="R146" s="195">
        <v>0</v>
      </c>
      <c r="S146" s="196"/>
      <c r="T146" s="192"/>
      <c r="U146" s="78"/>
      <c r="V146" s="78"/>
    </row>
    <row r="147" spans="1:22" hidden="1">
      <c r="A147" s="55" t="s">
        <v>619</v>
      </c>
      <c r="B147" s="55">
        <f>YEAR(tProjectsMaster212[[#This Row],[End Date]])</f>
        <v>2026</v>
      </c>
      <c r="C147" s="55" t="str">
        <f t="shared" ca="1" si="4"/>
        <v>ON GOING</v>
      </c>
      <c r="D147" s="55" t="s">
        <v>1208</v>
      </c>
      <c r="E147" s="55" t="s">
        <v>499</v>
      </c>
      <c r="F147" s="83" t="s">
        <v>1028</v>
      </c>
      <c r="G147" s="78" t="s">
        <v>500</v>
      </c>
      <c r="H147" s="78">
        <v>4500616669</v>
      </c>
      <c r="I147" s="185" t="s">
        <v>1155</v>
      </c>
      <c r="J147" s="478" t="s">
        <v>1209</v>
      </c>
      <c r="K147" s="188">
        <v>46097</v>
      </c>
      <c r="L147" s="188">
        <v>46101</v>
      </c>
      <c r="M147" s="188">
        <v>46387</v>
      </c>
      <c r="N147" s="193">
        <f>39000000*(9/12)</f>
        <v>29250000</v>
      </c>
      <c r="O147" s="193">
        <f>24000000*(9/12)</f>
        <v>18000000</v>
      </c>
      <c r="P147" s="200"/>
      <c r="Q147" s="202">
        <f>SUMIF('REALISASI 2026'!$C$7:$C$1048576,tProjectsMaster212[[#This Row],[Project_ID]],'REALISASI 2026'!$I$7:$I$1048576)</f>
        <v>6000000</v>
      </c>
      <c r="R147" s="207">
        <f>tProjectsMaster212[[#This Row],[Actual cost (admin)]]/tProjectsMaster212[[#This Row],[Costbased]]</f>
        <v>0.33333333333333331</v>
      </c>
      <c r="S147" s="191"/>
      <c r="T147" s="192"/>
      <c r="U147" s="78"/>
      <c r="V147" s="78"/>
    </row>
    <row r="148" spans="1:22" hidden="1">
      <c r="A148" s="55" t="s">
        <v>619</v>
      </c>
      <c r="B148" s="55">
        <f>YEAR(tProjectsMaster212[[#This Row],[End Date]])</f>
        <v>2027</v>
      </c>
      <c r="C148" s="55" t="str">
        <f t="shared" ca="1" si="4"/>
        <v>FUTURE</v>
      </c>
      <c r="D148" s="55" t="s">
        <v>1208</v>
      </c>
      <c r="E148" s="55" t="s">
        <v>499</v>
      </c>
      <c r="F148" s="83" t="s">
        <v>1028</v>
      </c>
      <c r="G148" s="78" t="s">
        <v>500</v>
      </c>
      <c r="H148" s="78">
        <v>4500616669</v>
      </c>
      <c r="I148" s="185" t="s">
        <v>1155</v>
      </c>
      <c r="J148" s="478" t="s">
        <v>1209</v>
      </c>
      <c r="K148" s="188">
        <v>46097</v>
      </c>
      <c r="L148" s="188">
        <v>46388</v>
      </c>
      <c r="M148" s="188">
        <v>46465</v>
      </c>
      <c r="N148" s="193">
        <f>39000000*(3/12)</f>
        <v>9750000</v>
      </c>
      <c r="O148" s="193">
        <f>24000000*(3/12)</f>
        <v>6000000</v>
      </c>
      <c r="P148" s="193"/>
      <c r="Q148" s="189"/>
      <c r="R148" s="195">
        <f>tProjectsMaster212[[#This Row],[Actual cost (admin)]]/tProjectsMaster212[[#This Row],[Costbased]]</f>
        <v>0</v>
      </c>
      <c r="S148" s="191"/>
      <c r="T148" s="192"/>
      <c r="U148" s="78"/>
      <c r="V148" s="78"/>
    </row>
    <row r="149" spans="1:22">
      <c r="A149" s="338" t="s">
        <v>621</v>
      </c>
      <c r="B149" s="338">
        <f>YEAR(tProjectsMaster212[[#This Row],[End Date]])</f>
        <v>2025</v>
      </c>
      <c r="C149" s="338" t="str">
        <f t="shared" ca="1" si="4"/>
        <v>CLOSED</v>
      </c>
      <c r="D149" s="55" t="s">
        <v>1208</v>
      </c>
      <c r="E149" s="338" t="s">
        <v>531</v>
      </c>
      <c r="F149" s="83" t="s">
        <v>1259</v>
      </c>
      <c r="G149" s="343" t="s">
        <v>266</v>
      </c>
      <c r="H149" s="349">
        <v>3900560768</v>
      </c>
      <c r="I149" s="185" t="s">
        <v>1155</v>
      </c>
      <c r="J149" s="478" t="s">
        <v>1214</v>
      </c>
      <c r="K149" s="345">
        <v>45791</v>
      </c>
      <c r="L149" s="345">
        <v>45793</v>
      </c>
      <c r="M149" s="341">
        <v>46022</v>
      </c>
      <c r="N149" s="342">
        <v>336062178</v>
      </c>
      <c r="O149" s="342">
        <f>(1098389797/24)*7</f>
        <v>320363690.79166663</v>
      </c>
      <c r="P149" s="197">
        <v>88324457</v>
      </c>
      <c r="Q149" s="206"/>
      <c r="R149" s="195">
        <f>tProjectsMaster212[[#This Row],[Actual cost (admin)]]/tProjectsMaster212[[#This Row],[Costbased]]</f>
        <v>0</v>
      </c>
      <c r="S149" s="196"/>
      <c r="T149" s="192">
        <v>0.97019999999999995</v>
      </c>
      <c r="U149" s="78"/>
      <c r="V149" s="78"/>
    </row>
    <row r="150" spans="1:22">
      <c r="A150" s="55" t="s">
        <v>621</v>
      </c>
      <c r="B150" s="55">
        <f>YEAR(tProjectsMaster212[[#This Row],[End Date]])</f>
        <v>2026</v>
      </c>
      <c r="C150" s="55" t="str">
        <f t="shared" ca="1" si="4"/>
        <v>ON GOING</v>
      </c>
      <c r="D150" s="55" t="s">
        <v>1208</v>
      </c>
      <c r="E150" s="55" t="s">
        <v>531</v>
      </c>
      <c r="F150" s="83" t="s">
        <v>1259</v>
      </c>
      <c r="G150" s="198" t="s">
        <v>266</v>
      </c>
      <c r="H150" s="185">
        <v>3900560768</v>
      </c>
      <c r="I150" s="185" t="s">
        <v>1155</v>
      </c>
      <c r="J150" s="478" t="s">
        <v>1214</v>
      </c>
      <c r="K150" s="208">
        <v>45791</v>
      </c>
      <c r="L150" s="188">
        <v>46023</v>
      </c>
      <c r="M150" s="188">
        <v>46387</v>
      </c>
      <c r="N150" s="193">
        <v>564984017</v>
      </c>
      <c r="O150" s="193">
        <f>(1098389797/24)*12</f>
        <v>549194898.5</v>
      </c>
      <c r="P150" s="200">
        <f>SUMIF('REALISASI 2026'!$C$7:$C$1048576,tProjectsMaster212[[#This Row],[Project_ID]],'REALISASI 2026'!$I$7:$I$1048576)</f>
        <v>25616545</v>
      </c>
      <c r="Q150" s="202">
        <f>SUMIF('REALISASI 2026'!$C$7:$C$1048576,tProjectsMaster212[[#This Row],[Project_ID]],'REALISASI 2026'!$I$7:$I$1048576)</f>
        <v>25616545</v>
      </c>
      <c r="R150" s="207">
        <f>tProjectsMaster212[[#This Row],[Actual cost (admin)]]/tProjectsMaster212[[#This Row],[Costbased]]</f>
        <v>4.6643814554661232E-2</v>
      </c>
      <c r="S150" s="196"/>
      <c r="T150" s="192">
        <v>0.97019999999999995</v>
      </c>
      <c r="U150" s="78"/>
      <c r="V150" s="78"/>
    </row>
    <row r="151" spans="1:22">
      <c r="A151" s="55" t="s">
        <v>621</v>
      </c>
      <c r="B151" s="55">
        <f>YEAR(tProjectsMaster212[[#This Row],[End Date]])</f>
        <v>2027</v>
      </c>
      <c r="C151" s="55" t="str">
        <f t="shared" ca="1" si="4"/>
        <v>FUTURE</v>
      </c>
      <c r="D151" s="55" t="s">
        <v>1208</v>
      </c>
      <c r="E151" s="55" t="s">
        <v>531</v>
      </c>
      <c r="F151" s="83" t="s">
        <v>1259</v>
      </c>
      <c r="G151" s="198" t="s">
        <v>266</v>
      </c>
      <c r="H151" s="185">
        <v>3900560768</v>
      </c>
      <c r="I151" s="185" t="s">
        <v>1155</v>
      </c>
      <c r="J151" s="478" t="s">
        <v>1214</v>
      </c>
      <c r="K151" s="208">
        <v>45791</v>
      </c>
      <c r="L151" s="188">
        <v>46388</v>
      </c>
      <c r="M151" s="188">
        <v>46522</v>
      </c>
      <c r="N151" s="193">
        <v>216903805</v>
      </c>
      <c r="O151" s="193">
        <f>(1098389797/24)*5</f>
        <v>228831207.70833331</v>
      </c>
      <c r="P151" s="197"/>
      <c r="Q151" s="206"/>
      <c r="R151" s="195">
        <f>tProjectsMaster212[[#This Row],[Actual cost (admin)]]/tProjectsMaster212[[#This Row],[Costbased]]</f>
        <v>0</v>
      </c>
      <c r="S151" s="196"/>
      <c r="T151" s="192">
        <v>0.97019999999999995</v>
      </c>
      <c r="U151" s="78"/>
      <c r="V151" s="78"/>
    </row>
    <row r="152" spans="1:22">
      <c r="A152" s="182" t="s">
        <v>425</v>
      </c>
      <c r="B152" s="55">
        <f>YEAR(tProjectsMaster212[[#This Row],[End Date]])</f>
        <v>2026</v>
      </c>
      <c r="C152" s="55" t="str">
        <f t="shared" ca="1" si="4"/>
        <v>ON GOING</v>
      </c>
      <c r="D152" s="55" t="s">
        <v>1255</v>
      </c>
      <c r="E152" s="55" t="s">
        <v>516</v>
      </c>
      <c r="F152" s="83" t="s">
        <v>1259</v>
      </c>
      <c r="G152" s="78" t="s">
        <v>272</v>
      </c>
      <c r="H152" s="78" t="s">
        <v>1291</v>
      </c>
      <c r="I152" s="185" t="s">
        <v>1155</v>
      </c>
      <c r="J152" s="478" t="s">
        <v>1214</v>
      </c>
      <c r="K152" s="188">
        <v>46022</v>
      </c>
      <c r="L152" s="188">
        <v>46023</v>
      </c>
      <c r="M152" s="188">
        <v>46387</v>
      </c>
      <c r="N152" s="193">
        <v>18297075778.666668</v>
      </c>
      <c r="O152" s="193">
        <v>16021256359.666668</v>
      </c>
      <c r="P152" s="200">
        <f>SUMIF('REALISASI 2026'!$C$7:$C$1048576,tProjectsMaster212[[#This Row],[Project_ID]],'REALISASI 2026'!$I$7:$I$1048576)</f>
        <v>5597601252</v>
      </c>
      <c r="Q152" s="202">
        <f>SUMIF('REALISASI 2026'!$C$7:$C$1048576,tProjectsMaster212[[#This Row],[Project_ID]],'REALISASI 2026'!$I$7:$I$1048576)</f>
        <v>5597601252</v>
      </c>
      <c r="R152" s="207">
        <f>tProjectsMaster212[[#This Row],[Actual cost (admin)]]/tProjectsMaster212[[#This Row],[Costbased]]</f>
        <v>0.34938591121304929</v>
      </c>
      <c r="S152" s="196"/>
      <c r="T152" s="192">
        <v>0.35770000000000002</v>
      </c>
      <c r="U152" s="55"/>
      <c r="V152" s="78"/>
    </row>
    <row r="153" spans="1:22">
      <c r="A153" s="182" t="s">
        <v>425</v>
      </c>
      <c r="B153" s="55">
        <f>YEAR(tProjectsMaster212[[#This Row],[End Date]])</f>
        <v>2027</v>
      </c>
      <c r="C153" s="55" t="str">
        <f t="shared" ca="1" si="4"/>
        <v>FUTURE</v>
      </c>
      <c r="D153" s="55" t="s">
        <v>1255</v>
      </c>
      <c r="E153" s="55" t="s">
        <v>516</v>
      </c>
      <c r="F153" s="83" t="s">
        <v>1259</v>
      </c>
      <c r="G153" s="78" t="s">
        <v>272</v>
      </c>
      <c r="H153" s="78" t="s">
        <v>1291</v>
      </c>
      <c r="I153" s="185" t="s">
        <v>1155</v>
      </c>
      <c r="J153" s="478" t="s">
        <v>1214</v>
      </c>
      <c r="K153" s="188">
        <v>46022</v>
      </c>
      <c r="L153" s="188">
        <v>46388</v>
      </c>
      <c r="M153" s="188">
        <v>46752</v>
      </c>
      <c r="N153" s="193">
        <v>12517075778.666668</v>
      </c>
      <c r="O153" s="193">
        <v>10083296422.666668</v>
      </c>
      <c r="P153" s="197" t="s">
        <v>842</v>
      </c>
      <c r="Q153" s="206"/>
      <c r="R153" s="195">
        <f>tProjectsMaster212[[#This Row],[Actual cost (admin)]]/tProjectsMaster212[[#This Row],[Costbased]]</f>
        <v>0</v>
      </c>
      <c r="S153" s="196"/>
      <c r="T153" s="192">
        <v>0.35770000000000002</v>
      </c>
      <c r="U153" s="55"/>
      <c r="V153" s="78"/>
    </row>
    <row r="154" spans="1:22">
      <c r="A154" s="182" t="s">
        <v>425</v>
      </c>
      <c r="B154" s="55">
        <f>YEAR(tProjectsMaster212[[#This Row],[End Date]])</f>
        <v>2028</v>
      </c>
      <c r="C154" s="55" t="str">
        <f t="shared" ca="1" si="4"/>
        <v>FUTURE</v>
      </c>
      <c r="D154" s="55" t="s">
        <v>1255</v>
      </c>
      <c r="E154" s="55" t="s">
        <v>516</v>
      </c>
      <c r="F154" s="83" t="s">
        <v>1259</v>
      </c>
      <c r="G154" s="78" t="s">
        <v>272</v>
      </c>
      <c r="H154" s="78" t="s">
        <v>1291</v>
      </c>
      <c r="I154" s="185" t="s">
        <v>1155</v>
      </c>
      <c r="J154" s="478" t="s">
        <v>1214</v>
      </c>
      <c r="K154" s="188">
        <v>46022</v>
      </c>
      <c r="L154" s="188">
        <v>46753</v>
      </c>
      <c r="M154" s="188">
        <v>47118</v>
      </c>
      <c r="N154" s="193">
        <v>12517075778.666668</v>
      </c>
      <c r="O154" s="193">
        <v>10083296422.666668</v>
      </c>
      <c r="P154" s="197"/>
      <c r="Q154" s="206"/>
      <c r="R154" s="195">
        <f>tProjectsMaster212[[#This Row],[Actual cost (admin)]]/tProjectsMaster212[[#This Row],[Costbased]]</f>
        <v>0</v>
      </c>
      <c r="S154" s="196"/>
      <c r="T154" s="192">
        <v>0.35770000000000002</v>
      </c>
      <c r="U154" s="55"/>
      <c r="V154" s="78"/>
    </row>
    <row r="155" spans="1:22">
      <c r="A155" s="338" t="s">
        <v>624</v>
      </c>
      <c r="B155" s="338">
        <f>YEAR(tProjectsMaster212[[#This Row],[End Date]])</f>
        <v>2025</v>
      </c>
      <c r="C155" s="338" t="str">
        <f t="shared" ca="1" si="4"/>
        <v>CLOSED</v>
      </c>
      <c r="D155" s="235" t="s">
        <v>1212</v>
      </c>
      <c r="E155" s="338" t="s">
        <v>625</v>
      </c>
      <c r="F155" s="83" t="s">
        <v>1028</v>
      </c>
      <c r="G155" s="340" t="s">
        <v>626</v>
      </c>
      <c r="H155" s="343">
        <v>3900012063</v>
      </c>
      <c r="I155" s="185" t="s">
        <v>1155</v>
      </c>
      <c r="J155" s="478" t="s">
        <v>1209</v>
      </c>
      <c r="K155" s="341">
        <v>45596</v>
      </c>
      <c r="L155" s="341">
        <v>45658</v>
      </c>
      <c r="M155" s="341">
        <v>46022</v>
      </c>
      <c r="N155" s="237">
        <f>7899044380/ 5</f>
        <v>1579808876</v>
      </c>
      <c r="O155" s="342">
        <f>7620147000/5</f>
        <v>1524029400</v>
      </c>
      <c r="P155" s="197">
        <f>6910000620/5</f>
        <v>1382000124</v>
      </c>
      <c r="Q155" s="197"/>
      <c r="R155" s="238">
        <f>tProjectsMaster212[[#This Row],[Actual cost (admin)]]/tProjectsMaster212[[#This Row],[Costbased]]</f>
        <v>0</v>
      </c>
      <c r="S155" s="196"/>
      <c r="T155" s="192">
        <v>0.75190000000000001</v>
      </c>
      <c r="U155" s="55"/>
      <c r="V155" s="78"/>
    </row>
    <row r="156" spans="1:22">
      <c r="A156" s="182" t="s">
        <v>624</v>
      </c>
      <c r="B156" s="55">
        <f>YEAR(tProjectsMaster212[[#This Row],[End Date]])</f>
        <v>2026</v>
      </c>
      <c r="C156" s="55" t="str">
        <f t="shared" ca="1" si="4"/>
        <v>ON GOING</v>
      </c>
      <c r="D156" s="235" t="s">
        <v>1212</v>
      </c>
      <c r="E156" s="55" t="s">
        <v>625</v>
      </c>
      <c r="F156" s="83" t="s">
        <v>1028</v>
      </c>
      <c r="G156" s="78" t="s">
        <v>626</v>
      </c>
      <c r="H156" s="198">
        <v>3900012063</v>
      </c>
      <c r="I156" s="185" t="s">
        <v>1155</v>
      </c>
      <c r="J156" s="478" t="s">
        <v>1209</v>
      </c>
      <c r="K156" s="188">
        <v>45596</v>
      </c>
      <c r="L156" s="188">
        <v>46023</v>
      </c>
      <c r="M156" s="188">
        <v>46387</v>
      </c>
      <c r="N156" s="197">
        <f>7899044380/ 5</f>
        <v>1579808876</v>
      </c>
      <c r="O156" s="193">
        <f>7620147000/5</f>
        <v>1524029400</v>
      </c>
      <c r="P156" s="197">
        <f>6910000620/5</f>
        <v>1382000124</v>
      </c>
      <c r="Q156" s="202">
        <f>SUMIF('REALISASI 2026'!$C$7:$C$1048576,tProjectsMaster212[[#This Row],[Project_ID]],'REALISASI 2026'!$I$7:$I$1048576)</f>
        <v>471031699</v>
      </c>
      <c r="R156" s="207">
        <f>tProjectsMaster212[[#This Row],[Actual cost (admin)]]/tProjectsMaster212[[#This Row],[Costbased]]</f>
        <v>0.30906995560584327</v>
      </c>
      <c r="S156" s="203"/>
      <c r="T156" s="192">
        <v>0.75190000000000001</v>
      </c>
      <c r="U156" s="55"/>
      <c r="V156" s="78"/>
    </row>
    <row r="157" spans="1:22">
      <c r="A157" s="182" t="s">
        <v>624</v>
      </c>
      <c r="B157" s="55">
        <f>YEAR(tProjectsMaster212[[#This Row],[End Date]])</f>
        <v>2027</v>
      </c>
      <c r="C157" s="55" t="str">
        <f t="shared" ca="1" si="4"/>
        <v>FUTURE</v>
      </c>
      <c r="D157" s="235" t="s">
        <v>1212</v>
      </c>
      <c r="E157" s="55" t="s">
        <v>625</v>
      </c>
      <c r="F157" s="83" t="s">
        <v>1028</v>
      </c>
      <c r="G157" s="78" t="s">
        <v>626</v>
      </c>
      <c r="H157" s="198">
        <v>3900012063</v>
      </c>
      <c r="I157" s="185" t="s">
        <v>1155</v>
      </c>
      <c r="J157" s="478" t="s">
        <v>1209</v>
      </c>
      <c r="K157" s="188">
        <v>45596</v>
      </c>
      <c r="L157" s="188">
        <v>46388</v>
      </c>
      <c r="M157" s="188">
        <v>46752</v>
      </c>
      <c r="N157" s="197">
        <f>7899044380/ 5</f>
        <v>1579808876</v>
      </c>
      <c r="O157" s="193">
        <f>7620147000/5</f>
        <v>1524029400</v>
      </c>
      <c r="P157" s="197">
        <f>6910000620/5</f>
        <v>1382000124</v>
      </c>
      <c r="Q157" s="197"/>
      <c r="R157" s="238">
        <f>tProjectsMaster212[[#This Row],[Actual cost (admin)]]/tProjectsMaster212[[#This Row],[Costbased]]</f>
        <v>0</v>
      </c>
      <c r="S157" s="196"/>
      <c r="T157" s="192">
        <v>0.75190000000000001</v>
      </c>
      <c r="U157" s="55"/>
      <c r="V157" s="78"/>
    </row>
    <row r="158" spans="1:22">
      <c r="A158" s="182" t="s">
        <v>624</v>
      </c>
      <c r="B158" s="55">
        <f>YEAR(tProjectsMaster212[[#This Row],[End Date]])</f>
        <v>2028</v>
      </c>
      <c r="C158" s="55" t="str">
        <f t="shared" ca="1" si="4"/>
        <v>FUTURE</v>
      </c>
      <c r="D158" s="235" t="s">
        <v>1212</v>
      </c>
      <c r="E158" s="55" t="s">
        <v>625</v>
      </c>
      <c r="F158" s="83" t="s">
        <v>1028</v>
      </c>
      <c r="G158" s="78" t="s">
        <v>626</v>
      </c>
      <c r="H158" s="198">
        <v>3900012063</v>
      </c>
      <c r="I158" s="185" t="s">
        <v>1155</v>
      </c>
      <c r="J158" s="478" t="s">
        <v>1209</v>
      </c>
      <c r="K158" s="188">
        <v>45596</v>
      </c>
      <c r="L158" s="188">
        <v>46753</v>
      </c>
      <c r="M158" s="188">
        <v>47118</v>
      </c>
      <c r="N158" s="197">
        <f>7899044380/ 5</f>
        <v>1579808876</v>
      </c>
      <c r="O158" s="193">
        <f>7620147000/5</f>
        <v>1524029400</v>
      </c>
      <c r="P158" s="197">
        <f>6910000620/5</f>
        <v>1382000124</v>
      </c>
      <c r="Q158" s="199"/>
      <c r="R158" s="238">
        <f>tProjectsMaster212[[#This Row],[Actual cost (admin)]]/tProjectsMaster212[[#This Row],[Costbased]]</f>
        <v>0</v>
      </c>
      <c r="S158" s="203"/>
      <c r="T158" s="192">
        <v>0.75190000000000001</v>
      </c>
      <c r="U158" s="55"/>
      <c r="V158" s="78"/>
    </row>
    <row r="159" spans="1:22">
      <c r="A159" s="182" t="s">
        <v>624</v>
      </c>
      <c r="B159" s="55">
        <f>YEAR(tProjectsMaster212[[#This Row],[End Date]])</f>
        <v>2029</v>
      </c>
      <c r="C159" s="55" t="str">
        <f t="shared" ca="1" si="4"/>
        <v>FUTURE</v>
      </c>
      <c r="D159" s="235" t="s">
        <v>1212</v>
      </c>
      <c r="E159" s="55" t="s">
        <v>625</v>
      </c>
      <c r="F159" s="83" t="s">
        <v>1028</v>
      </c>
      <c r="G159" s="78" t="s">
        <v>626</v>
      </c>
      <c r="H159" s="198">
        <v>3900012063</v>
      </c>
      <c r="I159" s="185" t="s">
        <v>1155</v>
      </c>
      <c r="J159" s="478" t="s">
        <v>1209</v>
      </c>
      <c r="K159" s="188">
        <v>45596</v>
      </c>
      <c r="L159" s="188">
        <v>47119</v>
      </c>
      <c r="M159" s="188">
        <v>47421</v>
      </c>
      <c r="N159" s="197">
        <f>(7899044380/5)*(10/12)</f>
        <v>1316507396.6666667</v>
      </c>
      <c r="O159" s="193">
        <f>(7620147000/5)*(10/12)</f>
        <v>1270024500</v>
      </c>
      <c r="P159" s="197">
        <f>6910000620/5</f>
        <v>1382000124</v>
      </c>
      <c r="Q159" s="199"/>
      <c r="R159" s="238">
        <f>tProjectsMaster212[[#This Row],[Actual cost (admin)]]/tProjectsMaster212[[#This Row],[Costbased]]</f>
        <v>0</v>
      </c>
      <c r="S159" s="203"/>
      <c r="T159" s="192">
        <v>0.75190000000000001</v>
      </c>
      <c r="U159" s="55"/>
      <c r="V159" s="78"/>
    </row>
    <row r="160" spans="1:22">
      <c r="A160" s="338" t="s">
        <v>414</v>
      </c>
      <c r="B160" s="338">
        <f>YEAR(tProjectsMaster212[[#This Row],[End Date]])</f>
        <v>2024</v>
      </c>
      <c r="C160" s="338" t="str">
        <f t="shared" ca="1" si="4"/>
        <v>CLOSED</v>
      </c>
      <c r="D160" s="235" t="s">
        <v>1215</v>
      </c>
      <c r="E160" s="338" t="s">
        <v>628</v>
      </c>
      <c r="F160" s="83" t="s">
        <v>1028</v>
      </c>
      <c r="G160" s="343" t="s">
        <v>629</v>
      </c>
      <c r="H160" s="349">
        <v>3950307654</v>
      </c>
      <c r="I160" s="185" t="s">
        <v>1155</v>
      </c>
      <c r="J160" s="478" t="s">
        <v>1209</v>
      </c>
      <c r="K160" s="345">
        <v>45231</v>
      </c>
      <c r="L160" s="341">
        <v>45323</v>
      </c>
      <c r="M160" s="341">
        <v>45657</v>
      </c>
      <c r="N160" s="342">
        <f>((12109859000/5)/12)*11</f>
        <v>2220140816.666667</v>
      </c>
      <c r="O160" s="342">
        <f>((11371062561/60)*11)+184890150</f>
        <v>2269584952.8499999</v>
      </c>
      <c r="P160" s="370">
        <f t="shared" ref="P160:P165" si="5">82812200+2925618+(897026617/60)</f>
        <v>100688261.61666667</v>
      </c>
      <c r="Q160" s="206"/>
      <c r="R160" s="195">
        <f>tProjectsMaster212[[#This Row],[Actual cost (admin)]]/tProjectsMaster212[[#This Row],[Costbased]]</f>
        <v>0</v>
      </c>
      <c r="S160" s="196"/>
      <c r="T160" s="192">
        <v>0.76739999999999997</v>
      </c>
      <c r="U160" s="78"/>
      <c r="V160" s="78"/>
    </row>
    <row r="161" spans="1:22">
      <c r="A161" s="338" t="s">
        <v>414</v>
      </c>
      <c r="B161" s="338">
        <f>YEAR(tProjectsMaster212[[#This Row],[End Date]])</f>
        <v>2025</v>
      </c>
      <c r="C161" s="338" t="str">
        <f t="shared" ca="1" si="4"/>
        <v>CLOSED</v>
      </c>
      <c r="D161" s="235" t="s">
        <v>1215</v>
      </c>
      <c r="E161" s="338" t="s">
        <v>628</v>
      </c>
      <c r="F161" s="83" t="s">
        <v>1028</v>
      </c>
      <c r="G161" s="343" t="s">
        <v>629</v>
      </c>
      <c r="H161" s="349">
        <v>3950307654</v>
      </c>
      <c r="I161" s="185" t="s">
        <v>1155</v>
      </c>
      <c r="J161" s="478" t="s">
        <v>1209</v>
      </c>
      <c r="K161" s="345">
        <v>45231</v>
      </c>
      <c r="L161" s="341">
        <v>45658</v>
      </c>
      <c r="M161" s="341">
        <v>46022</v>
      </c>
      <c r="N161" s="342">
        <f>12109859000/5</f>
        <v>2421971800</v>
      </c>
      <c r="O161" s="342">
        <f>((11371062561/60)*12)</f>
        <v>2274212512.1999998</v>
      </c>
      <c r="P161" s="370">
        <f t="shared" si="5"/>
        <v>100688261.61666667</v>
      </c>
      <c r="Q161" s="206"/>
      <c r="R161" s="195">
        <f>tProjectsMaster212[[#This Row],[Actual cost (admin)]]/tProjectsMaster212[[#This Row],[Costbased]]</f>
        <v>0</v>
      </c>
      <c r="S161" s="196"/>
      <c r="T161" s="192">
        <v>0.76739999999999997</v>
      </c>
      <c r="U161" s="78"/>
      <c r="V161" s="78"/>
    </row>
    <row r="162" spans="1:22">
      <c r="A162" s="55" t="s">
        <v>414</v>
      </c>
      <c r="B162" s="55">
        <f>YEAR(tProjectsMaster212[[#This Row],[End Date]])</f>
        <v>2026</v>
      </c>
      <c r="C162" s="55" t="str">
        <f t="shared" ca="1" si="4"/>
        <v>ON GOING</v>
      </c>
      <c r="D162" s="235" t="s">
        <v>1215</v>
      </c>
      <c r="E162" s="55" t="s">
        <v>628</v>
      </c>
      <c r="F162" s="83" t="s">
        <v>1028</v>
      </c>
      <c r="G162" s="198" t="s">
        <v>629</v>
      </c>
      <c r="H162" s="185">
        <v>3950307654</v>
      </c>
      <c r="I162" s="185" t="s">
        <v>1155</v>
      </c>
      <c r="J162" s="478" t="s">
        <v>1209</v>
      </c>
      <c r="K162" s="208">
        <v>45231</v>
      </c>
      <c r="L162" s="208">
        <v>46023</v>
      </c>
      <c r="M162" s="188">
        <v>46387</v>
      </c>
      <c r="N162" s="193">
        <f>12109859000/5</f>
        <v>2421971800</v>
      </c>
      <c r="O162" s="193">
        <f>((11371062561/60)*12)</f>
        <v>2274212512.1999998</v>
      </c>
      <c r="P162" s="370">
        <f t="shared" si="5"/>
        <v>100688261.61666667</v>
      </c>
      <c r="Q162" s="202">
        <f>SUMIF('REALISASI 2026'!$C$7:$C$1048576,tProjectsMaster212[[#This Row],[Project_ID]],'REALISASI 2026'!$I$7:$I$1048576)</f>
        <v>639652798</v>
      </c>
      <c r="R162" s="207">
        <f>tProjectsMaster212[[#This Row],[Actual cost (admin)]]/tProjectsMaster212[[#This Row],[Costbased]]</f>
        <v>0.28126342396261839</v>
      </c>
      <c r="S162" s="201"/>
      <c r="T162" s="192">
        <v>0.76739999999999997</v>
      </c>
      <c r="U162" s="78"/>
      <c r="V162" s="78"/>
    </row>
    <row r="163" spans="1:22">
      <c r="A163" s="55" t="s">
        <v>414</v>
      </c>
      <c r="B163" s="55">
        <f>YEAR(tProjectsMaster212[[#This Row],[End Date]])</f>
        <v>2027</v>
      </c>
      <c r="C163" s="55" t="str">
        <f t="shared" ref="C163:C178" ca="1" si="6">IF(L163&gt;TODAY(),"FUTURE",IF(M163&gt;TODAY(),"ON GOING","CLOSED"))</f>
        <v>FUTURE</v>
      </c>
      <c r="D163" s="235" t="s">
        <v>1215</v>
      </c>
      <c r="E163" s="55" t="s">
        <v>628</v>
      </c>
      <c r="F163" s="83" t="s">
        <v>1028</v>
      </c>
      <c r="G163" s="198" t="s">
        <v>629</v>
      </c>
      <c r="H163" s="185">
        <v>3950307654</v>
      </c>
      <c r="I163" s="185" t="s">
        <v>1155</v>
      </c>
      <c r="J163" s="478" t="s">
        <v>1209</v>
      </c>
      <c r="K163" s="208">
        <v>45231</v>
      </c>
      <c r="L163" s="188">
        <v>46388</v>
      </c>
      <c r="M163" s="188">
        <v>46752</v>
      </c>
      <c r="N163" s="193">
        <f>12109859000/5</f>
        <v>2421971800</v>
      </c>
      <c r="O163" s="193">
        <f>((11371062561/60)*12)</f>
        <v>2274212512.1999998</v>
      </c>
      <c r="P163" s="370">
        <f t="shared" si="5"/>
        <v>100688261.61666667</v>
      </c>
      <c r="Q163" s="190"/>
      <c r="R163" s="195">
        <f>tProjectsMaster212[[#This Row],[Actual cost (admin)]]/tProjectsMaster212[[#This Row],[Costbased]]</f>
        <v>0</v>
      </c>
      <c r="S163" s="201"/>
      <c r="T163" s="192">
        <v>0.76739999999999997</v>
      </c>
      <c r="U163" s="78"/>
      <c r="V163" s="78"/>
    </row>
    <row r="164" spans="1:22">
      <c r="A164" s="55" t="s">
        <v>414</v>
      </c>
      <c r="B164" s="55">
        <f>YEAR(tProjectsMaster212[[#This Row],[End Date]])</f>
        <v>2028</v>
      </c>
      <c r="C164" s="55" t="str">
        <f t="shared" ca="1" si="6"/>
        <v>FUTURE</v>
      </c>
      <c r="D164" s="235" t="s">
        <v>1215</v>
      </c>
      <c r="E164" s="55" t="s">
        <v>628</v>
      </c>
      <c r="F164" s="83" t="s">
        <v>1028</v>
      </c>
      <c r="G164" s="198" t="s">
        <v>629</v>
      </c>
      <c r="H164" s="185">
        <v>3950307654</v>
      </c>
      <c r="I164" s="185" t="s">
        <v>1155</v>
      </c>
      <c r="J164" s="478" t="s">
        <v>1209</v>
      </c>
      <c r="K164" s="208">
        <v>45231</v>
      </c>
      <c r="L164" s="208">
        <v>46753</v>
      </c>
      <c r="M164" s="188">
        <v>47118</v>
      </c>
      <c r="N164" s="193">
        <f>12109859000/5</f>
        <v>2421971800</v>
      </c>
      <c r="O164" s="193">
        <f>((11371062561/60)*12)</f>
        <v>2274212512.1999998</v>
      </c>
      <c r="P164" s="370">
        <f t="shared" si="5"/>
        <v>100688261.61666667</v>
      </c>
      <c r="Q164" s="190"/>
      <c r="R164" s="195">
        <f>tProjectsMaster212[[#This Row],[Actual cost (admin)]]/tProjectsMaster212[[#This Row],[Costbased]]</f>
        <v>0</v>
      </c>
      <c r="S164" s="191"/>
      <c r="T164" s="192">
        <v>0.76739999999999997</v>
      </c>
      <c r="U164" s="78"/>
      <c r="V164" s="78"/>
    </row>
    <row r="165" spans="1:22">
      <c r="A165" s="55" t="s">
        <v>414</v>
      </c>
      <c r="B165" s="55">
        <f>YEAR(tProjectsMaster212[[#This Row],[End Date]])</f>
        <v>2029</v>
      </c>
      <c r="C165" s="55" t="str">
        <f t="shared" ca="1" si="6"/>
        <v>FUTURE</v>
      </c>
      <c r="D165" s="235" t="s">
        <v>1215</v>
      </c>
      <c r="E165" s="55" t="s">
        <v>628</v>
      </c>
      <c r="F165" s="83" t="s">
        <v>1028</v>
      </c>
      <c r="G165" s="198" t="s">
        <v>629</v>
      </c>
      <c r="H165" s="185">
        <v>3950307654</v>
      </c>
      <c r="I165" s="185" t="s">
        <v>1155</v>
      </c>
      <c r="J165" s="478" t="s">
        <v>1209</v>
      </c>
      <c r="K165" s="208">
        <v>45231</v>
      </c>
      <c r="L165" s="188">
        <v>47119</v>
      </c>
      <c r="M165" s="188">
        <v>47149</v>
      </c>
      <c r="N165" s="193">
        <f>((12109859000/5)/12)*1</f>
        <v>201830983.33333334</v>
      </c>
      <c r="O165" s="193">
        <f>((11371062561/60)*1)</f>
        <v>189517709.34999999</v>
      </c>
      <c r="P165" s="370">
        <f t="shared" si="5"/>
        <v>100688261.61666667</v>
      </c>
      <c r="Q165" s="190"/>
      <c r="R165" s="195">
        <f>tProjectsMaster212[[#This Row],[Actual cost (admin)]]/tProjectsMaster212[[#This Row],[Costbased]]</f>
        <v>0</v>
      </c>
      <c r="S165" s="191"/>
      <c r="T165" s="192">
        <v>0.76739999999999997</v>
      </c>
      <c r="U165" s="78"/>
      <c r="V165" s="78"/>
    </row>
    <row r="166" spans="1:22">
      <c r="A166" s="338" t="s">
        <v>415</v>
      </c>
      <c r="B166" s="338">
        <f>YEAR(tProjectsMaster212[[#This Row],[End Date]])</f>
        <v>2021</v>
      </c>
      <c r="C166" s="338" t="str">
        <f t="shared" ca="1" si="6"/>
        <v>CLOSED</v>
      </c>
      <c r="D166" s="55" t="s">
        <v>1219</v>
      </c>
      <c r="E166" s="338" t="s">
        <v>631</v>
      </c>
      <c r="F166" s="83" t="s">
        <v>1028</v>
      </c>
      <c r="G166" s="340" t="s">
        <v>632</v>
      </c>
      <c r="H166" s="340">
        <v>4710003974</v>
      </c>
      <c r="I166" s="185" t="s">
        <v>1155</v>
      </c>
      <c r="J166" s="478" t="s">
        <v>1214</v>
      </c>
      <c r="K166" s="341">
        <v>44225</v>
      </c>
      <c r="L166" s="341">
        <v>44225</v>
      </c>
      <c r="M166" s="341">
        <v>44561</v>
      </c>
      <c r="N166" s="342">
        <f>93915805000/5</f>
        <v>18783161000</v>
      </c>
      <c r="O166" s="342">
        <f>30174089879+3123103666</f>
        <v>33297193545</v>
      </c>
      <c r="P166" s="371">
        <f>38093339133+12982174258+16505272+(724058*12)</f>
        <v>51100707359</v>
      </c>
      <c r="Q166" s="236"/>
      <c r="R166" s="195">
        <f>tProjectsMaster212[[#This Row],[Actual cost (admin)]]/tProjectsMaster212[[#This Row],[Costbased]]</f>
        <v>0</v>
      </c>
      <c r="S166" s="203" t="s">
        <v>1292</v>
      </c>
      <c r="T166" s="204">
        <v>0.93600000000000005</v>
      </c>
      <c r="U166" s="183"/>
      <c r="V166" s="78"/>
    </row>
    <row r="167" spans="1:22">
      <c r="A167" s="338" t="s">
        <v>415</v>
      </c>
      <c r="B167" s="338">
        <f>YEAR(tProjectsMaster212[[#This Row],[End Date]])</f>
        <v>2022</v>
      </c>
      <c r="C167" s="338" t="str">
        <f t="shared" ca="1" si="6"/>
        <v>CLOSED</v>
      </c>
      <c r="D167" s="55" t="s">
        <v>1219</v>
      </c>
      <c r="E167" s="338" t="s">
        <v>631</v>
      </c>
      <c r="F167" s="83" t="s">
        <v>1028</v>
      </c>
      <c r="G167" s="340" t="s">
        <v>632</v>
      </c>
      <c r="H167" s="340">
        <v>4710003974</v>
      </c>
      <c r="I167" s="185" t="s">
        <v>1155</v>
      </c>
      <c r="J167" s="478" t="s">
        <v>1214</v>
      </c>
      <c r="K167" s="341">
        <v>44225</v>
      </c>
      <c r="L167" s="341">
        <v>44562</v>
      </c>
      <c r="M167" s="341">
        <v>44926</v>
      </c>
      <c r="N167" s="342">
        <f>93915805000/5</f>
        <v>18783161000</v>
      </c>
      <c r="O167" s="342">
        <v>7378476547</v>
      </c>
      <c r="P167" s="371">
        <f>12806048949.82+28294752+(724058*12)+386332548</f>
        <v>13229364945.82</v>
      </c>
      <c r="Q167" s="236"/>
      <c r="R167" s="195">
        <f>tProjectsMaster212[[#This Row],[Actual cost (admin)]]/tProjectsMaster212[[#This Row],[Costbased]]</f>
        <v>0</v>
      </c>
      <c r="S167" s="203" t="s">
        <v>1292</v>
      </c>
      <c r="T167" s="204">
        <v>0.93600000000000005</v>
      </c>
      <c r="U167" s="183"/>
      <c r="V167" s="78"/>
    </row>
    <row r="168" spans="1:22">
      <c r="A168" s="338" t="s">
        <v>415</v>
      </c>
      <c r="B168" s="338">
        <f>YEAR(tProjectsMaster212[[#This Row],[End Date]])</f>
        <v>2023</v>
      </c>
      <c r="C168" s="338" t="str">
        <f t="shared" ca="1" si="6"/>
        <v>CLOSED</v>
      </c>
      <c r="D168" s="55" t="s">
        <v>1219</v>
      </c>
      <c r="E168" s="338" t="s">
        <v>631</v>
      </c>
      <c r="F168" s="83" t="s">
        <v>1028</v>
      </c>
      <c r="G168" s="340" t="s">
        <v>632</v>
      </c>
      <c r="H168" s="340">
        <v>4710003974</v>
      </c>
      <c r="I168" s="185" t="s">
        <v>1155</v>
      </c>
      <c r="J168" s="478" t="s">
        <v>1214</v>
      </c>
      <c r="K168" s="341">
        <v>44225</v>
      </c>
      <c r="L168" s="341">
        <v>44927</v>
      </c>
      <c r="M168" s="341">
        <v>45291</v>
      </c>
      <c r="N168" s="342">
        <f>93915805000/5</f>
        <v>18783161000</v>
      </c>
      <c r="O168" s="342">
        <v>7378476547</v>
      </c>
      <c r="P168" s="371">
        <f>2561852011+28294752+(724058*12)</f>
        <v>2598835459</v>
      </c>
      <c r="Q168" s="236"/>
      <c r="R168" s="195">
        <f>tProjectsMaster212[[#This Row],[Actual cost (admin)]]/tProjectsMaster212[[#This Row],[Costbased]]</f>
        <v>0</v>
      </c>
      <c r="S168" s="203" t="s">
        <v>1292</v>
      </c>
      <c r="T168" s="204">
        <v>0.93600000000000005</v>
      </c>
      <c r="U168" s="183"/>
      <c r="V168" s="78"/>
    </row>
    <row r="169" spans="1:22">
      <c r="A169" s="338" t="s">
        <v>415</v>
      </c>
      <c r="B169" s="338">
        <f>YEAR(tProjectsMaster212[[#This Row],[End Date]])</f>
        <v>2024</v>
      </c>
      <c r="C169" s="338" t="str">
        <f t="shared" ca="1" si="6"/>
        <v>CLOSED</v>
      </c>
      <c r="D169" s="55" t="s">
        <v>1219</v>
      </c>
      <c r="E169" s="338" t="s">
        <v>631</v>
      </c>
      <c r="F169" s="83" t="s">
        <v>1028</v>
      </c>
      <c r="G169" s="340" t="s">
        <v>632</v>
      </c>
      <c r="H169" s="340">
        <v>4710003974</v>
      </c>
      <c r="I169" s="185" t="s">
        <v>1155</v>
      </c>
      <c r="J169" s="478" t="s">
        <v>1214</v>
      </c>
      <c r="K169" s="341">
        <v>44225</v>
      </c>
      <c r="L169" s="341">
        <v>45292</v>
      </c>
      <c r="M169" s="341">
        <v>45657</v>
      </c>
      <c r="N169" s="342">
        <f>93915805000/5</f>
        <v>18783161000</v>
      </c>
      <c r="O169" s="342">
        <v>7378476547</v>
      </c>
      <c r="P169" s="371">
        <f>1621322911.56667+28294752+(724058*12)</f>
        <v>1658306359.5666699</v>
      </c>
      <c r="Q169" s="236"/>
      <c r="R169" s="195">
        <f>tProjectsMaster212[[#This Row],[Actual cost (admin)]]/tProjectsMaster212[[#This Row],[Costbased]]</f>
        <v>0</v>
      </c>
      <c r="S169" s="203" t="s">
        <v>1292</v>
      </c>
      <c r="T169" s="204">
        <v>0.93600000000000005</v>
      </c>
      <c r="U169" s="183"/>
      <c r="V169" s="78"/>
    </row>
    <row r="170" spans="1:22">
      <c r="A170" s="338" t="s">
        <v>415</v>
      </c>
      <c r="B170" s="338">
        <f>YEAR(tProjectsMaster212[[#This Row],[End Date]])</f>
        <v>2025</v>
      </c>
      <c r="C170" s="338" t="str">
        <f t="shared" ca="1" si="6"/>
        <v>CLOSED</v>
      </c>
      <c r="D170" s="55" t="s">
        <v>1219</v>
      </c>
      <c r="E170" s="338" t="s">
        <v>631</v>
      </c>
      <c r="F170" s="83" t="s">
        <v>1028</v>
      </c>
      <c r="G170" s="340" t="s">
        <v>632</v>
      </c>
      <c r="H170" s="340">
        <v>4710003974</v>
      </c>
      <c r="I170" s="185" t="s">
        <v>1155</v>
      </c>
      <c r="J170" s="478" t="s">
        <v>1214</v>
      </c>
      <c r="K170" s="341">
        <v>44225</v>
      </c>
      <c r="L170" s="341">
        <v>45658</v>
      </c>
      <c r="M170" s="341">
        <v>46022</v>
      </c>
      <c r="N170" s="342">
        <f>93915805000/5</f>
        <v>18783161000</v>
      </c>
      <c r="O170" s="342">
        <v>7378476547</v>
      </c>
      <c r="P170" s="371">
        <f>1430719794+14147367+(724058*8)</f>
        <v>1450659625</v>
      </c>
      <c r="Q170" s="236"/>
      <c r="R170" s="195">
        <f>tProjectsMaster212[[#This Row],[Actual cost (admin)]]/tProjectsMaster212[[#This Row],[Costbased]]</f>
        <v>0</v>
      </c>
      <c r="S170" s="203" t="s">
        <v>1292</v>
      </c>
      <c r="T170" s="204">
        <v>0.93600000000000005</v>
      </c>
      <c r="U170" s="183"/>
      <c r="V170" s="78"/>
    </row>
    <row r="171" spans="1:22">
      <c r="A171" s="182" t="s">
        <v>415</v>
      </c>
      <c r="B171" s="182">
        <f>YEAR(tProjectsMaster212[[#This Row],[End Date]])</f>
        <v>2026</v>
      </c>
      <c r="C171" s="55" t="str">
        <f t="shared" ca="1" si="6"/>
        <v>ON GOING</v>
      </c>
      <c r="D171" s="55" t="s">
        <v>1219</v>
      </c>
      <c r="E171" s="55" t="s">
        <v>631</v>
      </c>
      <c r="F171" s="83" t="s">
        <v>1028</v>
      </c>
      <c r="G171" s="183" t="s">
        <v>632</v>
      </c>
      <c r="H171" s="183">
        <v>4710003974</v>
      </c>
      <c r="I171" s="185" t="s">
        <v>1155</v>
      </c>
      <c r="J171" s="478" t="s">
        <v>1214</v>
      </c>
      <c r="K171" s="212">
        <v>44225</v>
      </c>
      <c r="L171" s="212">
        <v>46023</v>
      </c>
      <c r="M171" s="212">
        <v>46387</v>
      </c>
      <c r="N171" s="205">
        <f>103216240854-93915805000</f>
        <v>9300435854</v>
      </c>
      <c r="O171" s="205">
        <f>4680547747</f>
        <v>4680547747</v>
      </c>
      <c r="P171" s="199"/>
      <c r="Q171" s="237">
        <f>SUMIF('REALISASI 2026'!$C$7:$C$1048576,tProjectsMaster212[[#This Row],[Project_ID]],'REALISASI 2026'!$I$7:$I$1048576)</f>
        <v>2288621886</v>
      </c>
      <c r="R171" s="238">
        <f>tProjectsMaster212[[#This Row],[Actual cost (admin)]]/tProjectsMaster212[[#This Row],[Costbased]]</f>
        <v>0.48896454212370627</v>
      </c>
      <c r="S171" s="203" t="s">
        <v>1292</v>
      </c>
      <c r="T171" s="204">
        <v>0.93600000000000005</v>
      </c>
      <c r="U171" s="183"/>
      <c r="V171" s="78"/>
    </row>
    <row r="172" spans="1:22">
      <c r="A172" s="182" t="s">
        <v>415</v>
      </c>
      <c r="B172" s="182">
        <f>YEAR(tProjectsMaster212[[#This Row],[End Date]])</f>
        <v>2027</v>
      </c>
      <c r="C172" s="55" t="str">
        <f t="shared" ca="1" si="6"/>
        <v>FUTURE</v>
      </c>
      <c r="D172" s="55"/>
      <c r="E172" s="55" t="s">
        <v>631</v>
      </c>
      <c r="F172" s="83" t="s">
        <v>1028</v>
      </c>
      <c r="G172" s="183" t="s">
        <v>632</v>
      </c>
      <c r="H172" s="183">
        <v>4710003974</v>
      </c>
      <c r="I172" s="185" t="s">
        <v>1155</v>
      </c>
      <c r="J172" s="478" t="s">
        <v>1214</v>
      </c>
      <c r="K172" s="212">
        <v>44225</v>
      </c>
      <c r="L172" s="212">
        <v>46388</v>
      </c>
      <c r="M172" s="212">
        <v>46416</v>
      </c>
      <c r="N172" s="205">
        <v>0</v>
      </c>
      <c r="O172" s="205">
        <v>0</v>
      </c>
      <c r="P172" s="236"/>
      <c r="Q172" s="372"/>
      <c r="R172" s="238" t="e">
        <f>tProjectsMaster212[[#This Row],[Actual cost (admin)]]/tProjectsMaster212[[#This Row],[Costbased]]</f>
        <v>#DIV/0!</v>
      </c>
      <c r="S172" s="203" t="s">
        <v>1292</v>
      </c>
      <c r="T172" s="204">
        <v>0.93600000000000005</v>
      </c>
      <c r="U172" s="183"/>
      <c r="V172" s="78"/>
    </row>
    <row r="173" spans="1:22" hidden="1">
      <c r="A173" s="338" t="s">
        <v>634</v>
      </c>
      <c r="B173" s="338">
        <f>YEAR(tProjectsMaster212[[#This Row],[End Date]])</f>
        <v>2025</v>
      </c>
      <c r="C173" s="338" t="str">
        <f t="shared" ca="1" si="6"/>
        <v>CLOSED</v>
      </c>
      <c r="D173" s="182" t="s">
        <v>1293</v>
      </c>
      <c r="E173" s="338" t="s">
        <v>635</v>
      </c>
      <c r="F173" s="83" t="s">
        <v>1221</v>
      </c>
      <c r="G173" s="340" t="s">
        <v>327</v>
      </c>
      <c r="H173" s="340">
        <v>4650000179</v>
      </c>
      <c r="I173" s="185" t="s">
        <v>1155</v>
      </c>
      <c r="J173" s="478" t="s">
        <v>1209</v>
      </c>
      <c r="K173" s="341">
        <v>46020</v>
      </c>
      <c r="L173" s="341">
        <v>46020</v>
      </c>
      <c r="M173" s="341">
        <v>46022</v>
      </c>
      <c r="N173" s="342">
        <v>0</v>
      </c>
      <c r="O173" s="342"/>
      <c r="P173" s="199"/>
      <c r="Q173" s="236"/>
      <c r="R173" s="195" t="e">
        <f>tProjectsMaster212[[#This Row],[Actual cost (admin)]]/tProjectsMaster212[[#This Row],[Costbased]]</f>
        <v>#DIV/0!</v>
      </c>
      <c r="S173" s="203"/>
      <c r="T173" s="204"/>
      <c r="U173" s="183"/>
      <c r="V173" s="78"/>
    </row>
    <row r="174" spans="1:22" hidden="1">
      <c r="A174" s="182" t="s">
        <v>634</v>
      </c>
      <c r="B174" s="182">
        <f>YEAR(tProjectsMaster212[[#This Row],[End Date]])</f>
        <v>2026</v>
      </c>
      <c r="C174" s="182" t="str">
        <f t="shared" ca="1" si="6"/>
        <v>ON GOING</v>
      </c>
      <c r="D174" s="182" t="s">
        <v>1293</v>
      </c>
      <c r="E174" s="55" t="s">
        <v>635</v>
      </c>
      <c r="F174" s="83" t="s">
        <v>1221</v>
      </c>
      <c r="G174" s="183" t="s">
        <v>327</v>
      </c>
      <c r="H174" s="183">
        <v>4650000179</v>
      </c>
      <c r="I174" s="185" t="s">
        <v>1155</v>
      </c>
      <c r="J174" s="478" t="s">
        <v>1209</v>
      </c>
      <c r="K174" s="212">
        <v>46020</v>
      </c>
      <c r="L174" s="188">
        <v>46023</v>
      </c>
      <c r="M174" s="188">
        <v>46387</v>
      </c>
      <c r="N174" s="213">
        <f>27606740000*0.85</f>
        <v>23465729000</v>
      </c>
      <c r="O174" s="193">
        <v>803667048</v>
      </c>
      <c r="P174" s="200"/>
      <c r="Q174" s="237">
        <f>SUMIF('REALISASI 2026'!$C$7:$C$1048576,tProjectsMaster212[[#This Row],[Project_ID]],'REALISASI 2026'!$I$7:$I$1048576)</f>
        <v>0</v>
      </c>
      <c r="R174" s="238">
        <f>tProjectsMaster212[[#This Row],[Actual cost (admin)]]/tProjectsMaster212[[#This Row],[Costbased]]</f>
        <v>0</v>
      </c>
      <c r="S174" s="201"/>
      <c r="T174" s="192"/>
      <c r="U174" s="78"/>
      <c r="V174" s="78"/>
    </row>
    <row r="175" spans="1:22" hidden="1">
      <c r="A175" s="182" t="s">
        <v>634</v>
      </c>
      <c r="B175" s="182">
        <f>YEAR(tProjectsMaster212[[#This Row],[End Date]])</f>
        <v>2027</v>
      </c>
      <c r="C175" s="182" t="str">
        <f t="shared" ca="1" si="6"/>
        <v>FUTURE</v>
      </c>
      <c r="D175" s="182" t="s">
        <v>1293</v>
      </c>
      <c r="E175" s="55" t="s">
        <v>635</v>
      </c>
      <c r="F175" s="83" t="s">
        <v>1221</v>
      </c>
      <c r="G175" s="183" t="s">
        <v>327</v>
      </c>
      <c r="H175" s="183">
        <v>4650000179</v>
      </c>
      <c r="I175" s="185" t="s">
        <v>1155</v>
      </c>
      <c r="J175" s="478" t="s">
        <v>1209</v>
      </c>
      <c r="K175" s="212">
        <v>46020</v>
      </c>
      <c r="L175" s="188">
        <v>46388</v>
      </c>
      <c r="M175" s="188">
        <v>46752</v>
      </c>
      <c r="N175" s="213">
        <f>27606740000*0.15</f>
        <v>4141011000</v>
      </c>
      <c r="O175" s="193">
        <v>803667048</v>
      </c>
      <c r="P175" s="200"/>
      <c r="Q175" s="190"/>
      <c r="R175" s="195">
        <f>tProjectsMaster212[[#This Row],[Actual cost (admin)]]/tProjectsMaster212[[#This Row],[Costbased]]</f>
        <v>0</v>
      </c>
      <c r="S175" s="201"/>
      <c r="T175" s="192"/>
      <c r="U175" s="78"/>
      <c r="V175" s="78"/>
    </row>
    <row r="176" spans="1:22" hidden="1">
      <c r="A176" s="55" t="s">
        <v>637</v>
      </c>
      <c r="B176" s="55">
        <f>YEAR(tProjectsMaster212[[#This Row],[End Date]])</f>
        <v>2026</v>
      </c>
      <c r="C176" s="55" t="str">
        <f t="shared" ca="1" si="6"/>
        <v>ON GOING</v>
      </c>
      <c r="D176" s="55" t="s">
        <v>1294</v>
      </c>
      <c r="E176" s="55" t="s">
        <v>638</v>
      </c>
      <c r="F176" s="83" t="s">
        <v>860</v>
      </c>
      <c r="G176" s="78" t="s">
        <v>315</v>
      </c>
      <c r="H176" s="185">
        <v>4500104096</v>
      </c>
      <c r="I176" s="185" t="s">
        <v>1155</v>
      </c>
      <c r="J176" s="478" t="s">
        <v>1214</v>
      </c>
      <c r="K176" s="208">
        <v>46112</v>
      </c>
      <c r="L176" s="188">
        <v>46127</v>
      </c>
      <c r="M176" s="188">
        <v>46387</v>
      </c>
      <c r="N176" s="193">
        <v>150910548</v>
      </c>
      <c r="O176" s="193">
        <v>134831546</v>
      </c>
      <c r="P176" s="200">
        <f>SUMIF('REALISASI 2026'!$C$7:$C$1048576,tProjectsMaster212[[#This Row],[Project_ID]],'REALISASI 2026'!$I$7:$I$1048576)</f>
        <v>265000000</v>
      </c>
      <c r="Q176" s="202">
        <f>SUMIF('REALISASI 2026'!$C$7:$C$1048576,tProjectsMaster212[[#This Row],[Project_ID]],'REALISASI 2026'!$I$7:$I$1048576)</f>
        <v>265000000</v>
      </c>
      <c r="R176" s="207">
        <f>tProjectsMaster212[[#This Row],[Actual cost (admin)]]/tProjectsMaster212[[#This Row],[Costbased]]</f>
        <v>1.9654154228862732</v>
      </c>
      <c r="S176" s="191"/>
      <c r="T176" s="192"/>
      <c r="U176" s="78"/>
      <c r="V176" s="78"/>
    </row>
    <row r="177" spans="1:22" hidden="1">
      <c r="A177" s="55" t="s">
        <v>637</v>
      </c>
      <c r="B177" s="55">
        <f>YEAR(tProjectsMaster212[[#This Row],[End Date]])</f>
        <v>2027</v>
      </c>
      <c r="C177" s="55" t="str">
        <f t="shared" ca="1" si="6"/>
        <v>FUTURE</v>
      </c>
      <c r="D177" s="55" t="s">
        <v>1294</v>
      </c>
      <c r="E177" s="55" t="s">
        <v>638</v>
      </c>
      <c r="F177" s="83" t="s">
        <v>860</v>
      </c>
      <c r="G177" s="78" t="s">
        <v>315</v>
      </c>
      <c r="H177" s="185">
        <v>4500104096</v>
      </c>
      <c r="I177" s="185" t="s">
        <v>1155</v>
      </c>
      <c r="J177" s="478" t="s">
        <v>1214</v>
      </c>
      <c r="K177" s="208">
        <v>46112</v>
      </c>
      <c r="L177" s="188">
        <v>46388</v>
      </c>
      <c r="M177" s="188">
        <v>46491</v>
      </c>
      <c r="N177" s="193">
        <v>0</v>
      </c>
      <c r="O177" s="193">
        <v>0</v>
      </c>
      <c r="P177" s="200"/>
      <c r="Q177" s="200"/>
      <c r="R177" s="207" t="e">
        <f>tProjectsMaster212[[#This Row],[Actual cost (admin)]]/tProjectsMaster212[[#This Row],[Costbased]]</f>
        <v>#DIV/0!</v>
      </c>
      <c r="S177" s="191"/>
      <c r="T177" s="192"/>
      <c r="U177" s="78"/>
      <c r="V177" s="78"/>
    </row>
    <row r="178" spans="1:22" hidden="1">
      <c r="A178" s="182" t="s">
        <v>640</v>
      </c>
      <c r="B178" s="182">
        <f>YEAR(tProjectsMaster212[[#This Row],[End Date]])</f>
        <v>2026</v>
      </c>
      <c r="C178" s="182" t="str">
        <f t="shared" ca="1" si="6"/>
        <v>ON GOING</v>
      </c>
      <c r="D178" s="216" t="s">
        <v>1295</v>
      </c>
      <c r="E178" s="55" t="s">
        <v>641</v>
      </c>
      <c r="F178" s="83" t="s">
        <v>1259</v>
      </c>
      <c r="G178" s="228" t="s">
        <v>317</v>
      </c>
      <c r="H178" s="183" t="s">
        <v>1296</v>
      </c>
      <c r="I178" s="185" t="s">
        <v>1155</v>
      </c>
      <c r="J178" s="478" t="s">
        <v>1214</v>
      </c>
      <c r="K178" s="212">
        <v>46097</v>
      </c>
      <c r="L178" s="212">
        <v>46163</v>
      </c>
      <c r="M178" s="212">
        <v>46387</v>
      </c>
      <c r="N178" s="213">
        <f>335100600+(71079100*8)+(21175200*8)+(26550600*2)+240270500</f>
        <v>1366506700</v>
      </c>
      <c r="O178" s="213">
        <f>(287319334+17239160)+(206010843+12360651)+((60944022+3656641)*8)+((18155843+1089351)*8)+((24069818+1444189)*2)+(18296200+16467)</f>
        <v>1263037525</v>
      </c>
      <c r="P178" s="200">
        <f>SUMIF('REALISASI 2026'!$C$7:$C$1048576,tProjectsMaster212[[#This Row],[Project_ID]],'REALISASI 2026'!$I$7:$I$1048576)</f>
        <v>70000000</v>
      </c>
      <c r="Q178" s="202">
        <f>SUMIF('REALISASI 2026'!$C$7:$C$1048576,tProjectsMaster212[[#This Row],[Project_ID]],'REALISASI 2026'!$I$7:$I$1048576)</f>
        <v>70000000</v>
      </c>
      <c r="R178" s="207">
        <f>tProjectsMaster212[[#This Row],[Actual cost (admin)]]/tProjectsMaster212[[#This Row],[Costbased]]</f>
        <v>5.5421947974190235E-2</v>
      </c>
      <c r="S178" s="203"/>
      <c r="T178" s="204"/>
      <c r="U178" s="183"/>
      <c r="V178" s="78"/>
    </row>
    <row r="179" spans="1:22" hidden="1">
      <c r="A179" s="182" t="s">
        <v>640</v>
      </c>
      <c r="B179" s="182">
        <f>YEAR(tProjectsMaster212[[#This Row],[End Date]])</f>
        <v>2026</v>
      </c>
      <c r="C179" s="55" t="s">
        <v>1297</v>
      </c>
      <c r="D179" s="216" t="s">
        <v>1295</v>
      </c>
      <c r="E179" s="55" t="s">
        <v>641</v>
      </c>
      <c r="F179" s="83" t="s">
        <v>1259</v>
      </c>
      <c r="G179" s="228" t="s">
        <v>317</v>
      </c>
      <c r="H179" s="19" t="s">
        <v>1296</v>
      </c>
      <c r="I179" s="185" t="s">
        <v>1155</v>
      </c>
      <c r="J179" s="478" t="s">
        <v>1214</v>
      </c>
      <c r="K179" s="188">
        <v>46097</v>
      </c>
      <c r="L179" s="188">
        <v>46753</v>
      </c>
      <c r="M179" s="188">
        <v>46173</v>
      </c>
      <c r="N179" s="517">
        <f>(71079100*4)+(21175200*4)+20181900</f>
        <v>389199100</v>
      </c>
      <c r="O179" s="517">
        <f>((60944022+3656641)*4)+((18155843+1089351)*4)+(18296200+16467)</f>
        <v>353696095</v>
      </c>
      <c r="P179" s="199"/>
      <c r="Q179" s="236"/>
      <c r="R179" s="195">
        <f>tProjectsMaster212[[#This Row],[Actual cost (admin)]]/tProjectsMaster212[[#This Row],[Costbased]]</f>
        <v>0</v>
      </c>
      <c r="S179" s="203"/>
      <c r="T179" s="192"/>
      <c r="U179" s="78"/>
      <c r="V179" s="78"/>
    </row>
    <row r="180" spans="1:22">
      <c r="A180" s="182" t="s">
        <v>640</v>
      </c>
      <c r="B180" s="182">
        <f>YEAR(tProjectsMaster212[[#This Row],[End Date]])</f>
        <v>2027</v>
      </c>
      <c r="C180" s="55" t="str">
        <f t="shared" ref="C180:C211" ca="1" si="7">IF(L180&gt;TODAY(),"FUTURE",IF(M180&gt;TODAY(),"ON GOING","CLOSED"))</f>
        <v>FUTURE</v>
      </c>
      <c r="D180" s="216" t="s">
        <v>1295</v>
      </c>
      <c r="E180" s="55" t="s">
        <v>641</v>
      </c>
      <c r="F180" s="83" t="s">
        <v>1259</v>
      </c>
      <c r="G180" s="228" t="s">
        <v>317</v>
      </c>
      <c r="H180" s="19" t="s">
        <v>1296</v>
      </c>
      <c r="I180" s="185" t="s">
        <v>1155</v>
      </c>
      <c r="J180" s="478" t="s">
        <v>1214</v>
      </c>
      <c r="K180" s="188">
        <v>46097</v>
      </c>
      <c r="L180" s="188">
        <v>46388</v>
      </c>
      <c r="M180" s="188">
        <v>46752</v>
      </c>
      <c r="N180" s="517">
        <f>(71079100*12)+(21175200*12)+(26550600*2)+20181900</f>
        <v>1180334700</v>
      </c>
      <c r="O180" s="517">
        <f>((60944022+3656641)*12)+((18155843+1089351)*12)+((24069818+1444189)*2)+(18296200+16467)</f>
        <v>1075490965</v>
      </c>
      <c r="P180" s="199"/>
      <c r="Q180" s="236"/>
      <c r="R180" s="195">
        <f>tProjectsMaster212[[#This Row],[Actual cost (admin)]]/tProjectsMaster212[[#This Row],[Costbased]]</f>
        <v>0</v>
      </c>
      <c r="S180" s="203"/>
      <c r="T180" s="55" t="s">
        <v>1298</v>
      </c>
      <c r="U180" s="55"/>
      <c r="V180" s="78"/>
    </row>
    <row r="181" spans="1:22" ht="15">
      <c r="A181" s="182" t="s">
        <v>643</v>
      </c>
      <c r="B181" s="55">
        <f>YEAR(tProjectsMaster212[[#This Row],[End Date]])</f>
        <v>2026</v>
      </c>
      <c r="C181" s="55" t="str">
        <f t="shared" ca="1" si="7"/>
        <v>ON GOING</v>
      </c>
      <c r="D181" s="216" t="s">
        <v>1295</v>
      </c>
      <c r="E181" s="55" t="s">
        <v>644</v>
      </c>
      <c r="F181" s="83" t="s">
        <v>1028</v>
      </c>
      <c r="G181" s="78" t="s">
        <v>756</v>
      </c>
      <c r="H181" t="s">
        <v>1299</v>
      </c>
      <c r="I181" s="185" t="s">
        <v>1155</v>
      </c>
      <c r="J181" s="478" t="s">
        <v>1209</v>
      </c>
      <c r="K181" s="188">
        <v>46007</v>
      </c>
      <c r="L181" s="188">
        <v>46023</v>
      </c>
      <c r="M181" s="188">
        <v>46387</v>
      </c>
      <c r="N181" s="526">
        <f>31553860*12</f>
        <v>378646320</v>
      </c>
      <c r="O181" s="527">
        <f>922632480/3</f>
        <v>307544160</v>
      </c>
      <c r="P181" s="200" t="s">
        <v>842</v>
      </c>
      <c r="Q181" s="202">
        <f>SUMIF('REALISASI 2026'!$C$7:$C$1048576,tProjectsMaster212[[#This Row],[Project_ID]],'REALISASI 2026'!$I$7:$I$1048576)</f>
        <v>0</v>
      </c>
      <c r="R181" s="207">
        <f>tProjectsMaster212[[#This Row],[Actual cost (admin)]]/tProjectsMaster212[[#This Row],[Costbased]]</f>
        <v>0</v>
      </c>
      <c r="S181" s="191"/>
      <c r="T181" s="192">
        <v>0.35770000000000002</v>
      </c>
      <c r="U181" s="240" t="s">
        <v>1300</v>
      </c>
      <c r="V181" s="78"/>
    </row>
    <row r="182" spans="1:22" ht="15">
      <c r="A182" s="182" t="s">
        <v>643</v>
      </c>
      <c r="B182" s="55">
        <f>YEAR(tProjectsMaster212[[#This Row],[End Date]])</f>
        <v>2027</v>
      </c>
      <c r="C182" s="55" t="str">
        <f t="shared" ca="1" si="7"/>
        <v>FUTURE</v>
      </c>
      <c r="D182" s="216" t="s">
        <v>1301</v>
      </c>
      <c r="E182" s="55" t="s">
        <v>644</v>
      </c>
      <c r="F182" s="83" t="s">
        <v>1028</v>
      </c>
      <c r="G182" s="78" t="s">
        <v>756</v>
      </c>
      <c r="H182" s="10" t="s">
        <v>1299</v>
      </c>
      <c r="I182" s="185" t="s">
        <v>1155</v>
      </c>
      <c r="J182" s="478" t="s">
        <v>1209</v>
      </c>
      <c r="K182" s="188">
        <v>46007</v>
      </c>
      <c r="L182" s="188">
        <v>46388</v>
      </c>
      <c r="M182" s="188">
        <v>46752</v>
      </c>
      <c r="N182" s="526">
        <f>31553860*12</f>
        <v>378646320</v>
      </c>
      <c r="O182" s="6">
        <f>922632480/3</f>
        <v>307544160</v>
      </c>
      <c r="P182" s="200" t="s">
        <v>842</v>
      </c>
      <c r="Q182" s="190"/>
      <c r="R182" s="195">
        <f>tProjectsMaster212[[#This Row],[Actual cost (admin)]]/tProjectsMaster212[[#This Row],[Costbased]]</f>
        <v>0</v>
      </c>
      <c r="S182" s="191"/>
      <c r="T182" s="192">
        <v>0.35770000000000002</v>
      </c>
      <c r="U182" s="240" t="s">
        <v>1300</v>
      </c>
      <c r="V182" s="78"/>
    </row>
    <row r="183" spans="1:22" ht="15">
      <c r="A183" s="182" t="s">
        <v>643</v>
      </c>
      <c r="B183" s="55">
        <f>YEAR(tProjectsMaster212[[#This Row],[End Date]])</f>
        <v>2028</v>
      </c>
      <c r="C183" s="55" t="str">
        <f t="shared" ca="1" si="7"/>
        <v>FUTURE</v>
      </c>
      <c r="D183" s="216" t="s">
        <v>1301</v>
      </c>
      <c r="E183" s="55" t="s">
        <v>644</v>
      </c>
      <c r="F183" s="83" t="s">
        <v>1028</v>
      </c>
      <c r="G183" s="78" t="s">
        <v>756</v>
      </c>
      <c r="H183" s="10" t="s">
        <v>1299</v>
      </c>
      <c r="I183" s="185" t="s">
        <v>1155</v>
      </c>
      <c r="J183" s="478" t="s">
        <v>1209</v>
      </c>
      <c r="K183" s="188">
        <v>46007</v>
      </c>
      <c r="L183" s="188">
        <v>46753</v>
      </c>
      <c r="M183" s="188">
        <v>47103</v>
      </c>
      <c r="N183" s="526">
        <f>31553860*12</f>
        <v>378646320</v>
      </c>
      <c r="O183" s="527">
        <f>922632480/3</f>
        <v>307544160</v>
      </c>
      <c r="P183" s="200" t="s">
        <v>842</v>
      </c>
      <c r="Q183" s="190"/>
      <c r="R183" s="195">
        <f>tProjectsMaster212[[#This Row],[Actual cost (admin)]]/tProjectsMaster212[[#This Row],[Costbased]]</f>
        <v>0</v>
      </c>
      <c r="S183" s="191"/>
      <c r="T183" s="192">
        <v>0.35770000000000002</v>
      </c>
      <c r="U183" s="240" t="s">
        <v>1300</v>
      </c>
      <c r="V183" s="78"/>
    </row>
    <row r="184" spans="1:22" hidden="1">
      <c r="A184" s="182" t="s">
        <v>647</v>
      </c>
      <c r="B184" s="182">
        <f>YEAR(tProjectsMaster212[[#This Row],[End Date]])</f>
        <v>2026</v>
      </c>
      <c r="C184" s="55" t="str">
        <f t="shared" ca="1" si="7"/>
        <v>ON GOING</v>
      </c>
      <c r="D184" s="182"/>
      <c r="E184" s="55" t="s">
        <v>648</v>
      </c>
      <c r="F184" s="83" t="s">
        <v>860</v>
      </c>
      <c r="G184" s="183" t="s">
        <v>330</v>
      </c>
      <c r="H184" s="183" t="s">
        <v>1302</v>
      </c>
      <c r="I184" s="185" t="s">
        <v>1155</v>
      </c>
      <c r="J184" s="478" t="s">
        <v>1209</v>
      </c>
      <c r="K184" s="212">
        <v>46181</v>
      </c>
      <c r="L184" s="188">
        <v>46195</v>
      </c>
      <c r="M184" s="188">
        <v>46262</v>
      </c>
      <c r="N184" s="193">
        <v>205255310</v>
      </c>
      <c r="O184" s="517">
        <v>189787569</v>
      </c>
      <c r="P184" s="200"/>
      <c r="Q184" s="200"/>
      <c r="R184" s="207">
        <f>tProjectsMaster212[[#This Row],[Actual cost (admin)]]/tProjectsMaster212[[#This Row],[Costbased]]</f>
        <v>0</v>
      </c>
      <c r="S184" s="201"/>
      <c r="T184" s="192"/>
      <c r="U184" s="78"/>
      <c r="V184" s="78"/>
    </row>
    <row r="185" spans="1:22" hidden="1">
      <c r="A185" s="182" t="s">
        <v>650</v>
      </c>
      <c r="B185" s="182">
        <f>YEAR(tProjectsMaster212[[#This Row],[End Date]])</f>
        <v>2026</v>
      </c>
      <c r="C185" s="182" t="str">
        <f t="shared" ca="1" si="7"/>
        <v>ON GOING</v>
      </c>
      <c r="D185" s="182"/>
      <c r="E185" s="55" t="s">
        <v>651</v>
      </c>
      <c r="F185" s="83" t="s">
        <v>860</v>
      </c>
      <c r="G185" s="183" t="s">
        <v>652</v>
      </c>
      <c r="H185" s="138" t="s">
        <v>1278</v>
      </c>
      <c r="I185" s="185" t="s">
        <v>1155</v>
      </c>
      <c r="J185" s="478" t="s">
        <v>1209</v>
      </c>
      <c r="K185" s="186" t="s">
        <v>842</v>
      </c>
      <c r="L185" s="187">
        <v>46211</v>
      </c>
      <c r="M185" s="187">
        <v>46387</v>
      </c>
      <c r="N185" s="517">
        <v>199800000</v>
      </c>
      <c r="O185" s="517">
        <v>163525000</v>
      </c>
      <c r="P185" s="200"/>
      <c r="Q185" s="200"/>
      <c r="R185" s="207">
        <f>tProjectsMaster212[[#This Row],[Actual cost (admin)]]/tProjectsMaster212[[#This Row],[Costbased]]</f>
        <v>0</v>
      </c>
      <c r="S185" s="201"/>
      <c r="T185" s="192"/>
      <c r="U185" s="78" t="s">
        <v>1303</v>
      </c>
      <c r="V185" s="78"/>
    </row>
    <row r="186" spans="1:22">
      <c r="A186" s="182" t="s">
        <v>654</v>
      </c>
      <c r="B186" s="182">
        <f>YEAR(tProjectsMaster212[[#This Row],[End Date]])</f>
        <v>2026</v>
      </c>
      <c r="C186" s="182" t="str">
        <f t="shared" ca="1" si="7"/>
        <v>ON GOING</v>
      </c>
      <c r="D186" s="182"/>
      <c r="E186" s="55" t="s">
        <v>516</v>
      </c>
      <c r="F186" s="83" t="s">
        <v>1259</v>
      </c>
      <c r="G186" s="183" t="s">
        <v>655</v>
      </c>
      <c r="H186" s="138" t="s">
        <v>1304</v>
      </c>
      <c r="I186" s="185" t="s">
        <v>1223</v>
      </c>
      <c r="J186" s="478" t="s">
        <v>1209</v>
      </c>
      <c r="K186" s="212">
        <v>46171</v>
      </c>
      <c r="L186" s="187">
        <v>46209</v>
      </c>
      <c r="M186" s="188">
        <v>46387</v>
      </c>
      <c r="N186" s="516">
        <f>7965342500/6</f>
        <v>1327557083.3333333</v>
      </c>
      <c r="O186" s="516">
        <f>7460275000/6</f>
        <v>1243379166.6666667</v>
      </c>
      <c r="P186" s="200"/>
      <c r="Q186" s="202">
        <f>SUMIF('REALISASI 2026'!$C$7:$C$1048576,tProjectsMaster212[[#This Row],[Project_ID]],'REALISASI 2026'!$I$7:$I$1048576)</f>
        <v>43500000</v>
      </c>
      <c r="R186" s="207">
        <f>tProjectsMaster212[[#This Row],[Actual cost (admin)]]/tProjectsMaster212[[#This Row],[Costbased]]</f>
        <v>3.4985305501472802E-2</v>
      </c>
      <c r="S186" s="201"/>
      <c r="T186" s="192">
        <v>0.90010000000000001</v>
      </c>
      <c r="U186" s="78" t="s">
        <v>1305</v>
      </c>
      <c r="V186" s="78"/>
    </row>
    <row r="187" spans="1:22">
      <c r="A187" s="182" t="s">
        <v>654</v>
      </c>
      <c r="B187" s="182">
        <f>YEAR(tProjectsMaster212[[#This Row],[End Date]])</f>
        <v>2027</v>
      </c>
      <c r="C187" s="182" t="str">
        <f t="shared" ca="1" si="7"/>
        <v>FUTURE</v>
      </c>
      <c r="D187" s="182"/>
      <c r="E187" s="55" t="s">
        <v>516</v>
      </c>
      <c r="F187" s="83" t="s">
        <v>1259</v>
      </c>
      <c r="G187" s="183" t="s">
        <v>655</v>
      </c>
      <c r="H187" s="138" t="s">
        <v>1304</v>
      </c>
      <c r="I187" s="185" t="s">
        <v>1223</v>
      </c>
      <c r="J187" s="478" t="s">
        <v>1209</v>
      </c>
      <c r="K187" s="212">
        <v>46171</v>
      </c>
      <c r="L187" s="188">
        <v>46388</v>
      </c>
      <c r="M187" s="188">
        <v>46752</v>
      </c>
      <c r="N187" s="517">
        <f>7965342500/3</f>
        <v>2655114166.6666665</v>
      </c>
      <c r="O187" s="517">
        <f>7460275000/3</f>
        <v>2486758333.3333335</v>
      </c>
      <c r="P187" s="200"/>
      <c r="Q187" s="200"/>
      <c r="R187" s="207">
        <f>tProjectsMaster212[[#This Row],[Actual cost (admin)]]/tProjectsMaster212[[#This Row],[Costbased]]</f>
        <v>0</v>
      </c>
      <c r="S187" s="201"/>
      <c r="T187" s="192">
        <v>0.90010000000000001</v>
      </c>
      <c r="U187" s="78" t="s">
        <v>1305</v>
      </c>
      <c r="V187" s="78"/>
    </row>
    <row r="188" spans="1:22">
      <c r="A188" s="182" t="s">
        <v>654</v>
      </c>
      <c r="B188" s="182">
        <f>YEAR(tProjectsMaster212[[#This Row],[End Date]])</f>
        <v>2028</v>
      </c>
      <c r="C188" s="182" t="str">
        <f t="shared" ca="1" si="7"/>
        <v>FUTURE</v>
      </c>
      <c r="D188" s="182"/>
      <c r="E188" s="55" t="s">
        <v>516</v>
      </c>
      <c r="F188" s="83" t="s">
        <v>1259</v>
      </c>
      <c r="G188" s="183" t="s">
        <v>655</v>
      </c>
      <c r="H188" s="138" t="s">
        <v>1304</v>
      </c>
      <c r="I188" s="185" t="s">
        <v>1223</v>
      </c>
      <c r="J188" s="478" t="s">
        <v>1209</v>
      </c>
      <c r="K188" s="212">
        <v>46171</v>
      </c>
      <c r="L188" s="188">
        <v>46753</v>
      </c>
      <c r="M188" s="188">
        <v>47118</v>
      </c>
      <c r="N188" s="517">
        <f>7965342500/3</f>
        <v>2655114166.6666665</v>
      </c>
      <c r="O188" s="517">
        <f>7460275000/3</f>
        <v>2486758333.3333335</v>
      </c>
      <c r="P188" s="200"/>
      <c r="Q188" s="200"/>
      <c r="R188" s="207">
        <f>tProjectsMaster212[[#This Row],[Actual cost (admin)]]/tProjectsMaster212[[#This Row],[Costbased]]</f>
        <v>0</v>
      </c>
      <c r="S188" s="201"/>
      <c r="T188" s="192">
        <v>0.90010000000000001</v>
      </c>
      <c r="U188" s="78" t="s">
        <v>1305</v>
      </c>
      <c r="V188" s="78"/>
    </row>
    <row r="189" spans="1:22">
      <c r="A189" s="182" t="s">
        <v>654</v>
      </c>
      <c r="B189" s="182">
        <f>YEAR(tProjectsMaster212[[#This Row],[End Date]])</f>
        <v>2029</v>
      </c>
      <c r="C189" s="182" t="str">
        <f t="shared" ca="1" si="7"/>
        <v>FUTURE</v>
      </c>
      <c r="D189" s="182"/>
      <c r="E189" s="55" t="s">
        <v>516</v>
      </c>
      <c r="F189" s="83" t="s">
        <v>1259</v>
      </c>
      <c r="G189" s="183" t="s">
        <v>655</v>
      </c>
      <c r="H189" s="138" t="s">
        <v>1304</v>
      </c>
      <c r="I189" s="185" t="s">
        <v>1223</v>
      </c>
      <c r="J189" s="478" t="s">
        <v>1209</v>
      </c>
      <c r="K189" s="212">
        <v>46171</v>
      </c>
      <c r="L189" s="188">
        <v>47119</v>
      </c>
      <c r="M189" s="187">
        <v>47483</v>
      </c>
      <c r="N189" s="516">
        <f>7965342500/6</f>
        <v>1327557083.3333333</v>
      </c>
      <c r="O189" s="516">
        <f>7460275000/6</f>
        <v>1243379166.6666667</v>
      </c>
      <c r="P189" s="200"/>
      <c r="Q189" s="200"/>
      <c r="R189" s="207">
        <f>tProjectsMaster212[[#This Row],[Actual cost (admin)]]/tProjectsMaster212[[#This Row],[Costbased]]</f>
        <v>0</v>
      </c>
      <c r="S189" s="201"/>
      <c r="T189" s="192">
        <v>0.90010000000000001</v>
      </c>
      <c r="U189" s="78" t="s">
        <v>1305</v>
      </c>
      <c r="V189" s="78"/>
    </row>
    <row r="190" spans="1:22">
      <c r="A190" s="182" t="s">
        <v>428</v>
      </c>
      <c r="B190" s="182">
        <f>YEAR(tProjectsMaster212[[#This Row],[End Date]])</f>
        <v>2026</v>
      </c>
      <c r="C190" s="182" t="str">
        <f t="shared" ca="1" si="7"/>
        <v>ON GOING</v>
      </c>
      <c r="D190" s="182"/>
      <c r="E190" s="55" t="s">
        <v>516</v>
      </c>
      <c r="F190" s="83" t="s">
        <v>1221</v>
      </c>
      <c r="G190" s="183" t="s">
        <v>658</v>
      </c>
      <c r="H190" s="19" t="s">
        <v>1306</v>
      </c>
      <c r="I190" s="185" t="s">
        <v>435</v>
      </c>
      <c r="J190" s="478"/>
      <c r="K190" s="212">
        <v>46197</v>
      </c>
      <c r="L190" s="188">
        <v>46197</v>
      </c>
      <c r="M190" s="188">
        <v>46387</v>
      </c>
      <c r="N190" s="517">
        <f>35568880512*(6/24)</f>
        <v>8892220128</v>
      </c>
      <c r="O190" s="517">
        <f>27154016000*(6/24)</f>
        <v>6788504000</v>
      </c>
      <c r="P190" s="200"/>
      <c r="Q190" s="200"/>
      <c r="R190" s="207">
        <f>tProjectsMaster212[[#This Row],[Actual cost (admin)]]/tProjectsMaster212[[#This Row],[Costbased]]</f>
        <v>0</v>
      </c>
      <c r="S190" s="201"/>
      <c r="T190" s="192">
        <v>0.55059999999999998</v>
      </c>
      <c r="U190" s="78"/>
      <c r="V190" s="78"/>
    </row>
    <row r="191" spans="1:22">
      <c r="A191" s="182" t="s">
        <v>428</v>
      </c>
      <c r="B191" s="182">
        <f>YEAR(tProjectsMaster212[[#This Row],[End Date]])</f>
        <v>2027</v>
      </c>
      <c r="C191" s="182" t="str">
        <f t="shared" ca="1" si="7"/>
        <v>FUTURE</v>
      </c>
      <c r="D191" s="182"/>
      <c r="E191" s="55" t="s">
        <v>516</v>
      </c>
      <c r="F191" s="83"/>
      <c r="G191" s="183" t="s">
        <v>658</v>
      </c>
      <c r="H191" s="19" t="s">
        <v>1306</v>
      </c>
      <c r="I191" s="185" t="s">
        <v>435</v>
      </c>
      <c r="J191" s="478"/>
      <c r="K191" s="212">
        <v>46197</v>
      </c>
      <c r="L191" s="188">
        <v>46388</v>
      </c>
      <c r="M191" s="188">
        <v>46752</v>
      </c>
      <c r="N191" s="517">
        <f>35568880512*(12/24)</f>
        <v>17784440256</v>
      </c>
      <c r="O191" s="517">
        <f>27154016000*(12/24)</f>
        <v>13577008000</v>
      </c>
      <c r="P191" s="200"/>
      <c r="Q191" s="200">
        <f>SUMIF('REALISASI 2026'!$C$7:$C$1048576,tProjectsMaster212[[#This Row],[Project_ID]],'REALISASI 2026'!$I$7:$I$1048576)</f>
        <v>7234233</v>
      </c>
      <c r="R191" s="207">
        <f>tProjectsMaster212[[#This Row],[Actual cost (admin)]]/tProjectsMaster212[[#This Row],[Costbased]]</f>
        <v>5.3282969266866458E-4</v>
      </c>
      <c r="S191" s="201"/>
      <c r="T191" s="192">
        <v>0.55059999999999998</v>
      </c>
      <c r="U191" s="78"/>
      <c r="V191" s="78"/>
    </row>
    <row r="192" spans="1:22">
      <c r="A192" s="182" t="s">
        <v>428</v>
      </c>
      <c r="B192" s="182">
        <f>YEAR(tProjectsMaster212[[#This Row],[End Date]])</f>
        <v>2028</v>
      </c>
      <c r="C192" s="182" t="str">
        <f t="shared" ca="1" si="7"/>
        <v>FUTURE</v>
      </c>
      <c r="D192" s="182"/>
      <c r="E192" s="55" t="s">
        <v>516</v>
      </c>
      <c r="F192" s="83"/>
      <c r="G192" s="183" t="s">
        <v>658</v>
      </c>
      <c r="H192" s="19" t="s">
        <v>1306</v>
      </c>
      <c r="I192" s="185" t="s">
        <v>435</v>
      </c>
      <c r="J192" s="478"/>
      <c r="K192" s="212">
        <v>46197</v>
      </c>
      <c r="L192" s="188">
        <v>46753</v>
      </c>
      <c r="M192" s="188">
        <v>46927</v>
      </c>
      <c r="N192" s="517">
        <f>35568880512*(6/24)</f>
        <v>8892220128</v>
      </c>
      <c r="O192" s="517">
        <f>27154016000*(6/24)</f>
        <v>6788504000</v>
      </c>
      <c r="P192" s="200"/>
      <c r="Q192" s="200">
        <f>SUMIF('REALISASI 2026'!$C$7:$C$1048576,tProjectsMaster212[[#This Row],[Project_ID]],'REALISASI 2026'!$I$7:$I$1048576)</f>
        <v>7234233</v>
      </c>
      <c r="R192" s="207">
        <f>tProjectsMaster212[[#This Row],[Actual cost (admin)]]/tProjectsMaster212[[#This Row],[Costbased]]</f>
        <v>1.0656593853373292E-3</v>
      </c>
      <c r="S192" s="201"/>
      <c r="T192" s="192">
        <v>0.55059999999999998</v>
      </c>
      <c r="U192" s="78"/>
      <c r="V192" s="78"/>
    </row>
    <row r="193" spans="1:22" hidden="1">
      <c r="A193" s="182" t="s">
        <v>660</v>
      </c>
      <c r="B193" s="182">
        <f>YEAR(tProjectsMaster212[[#This Row],[End Date]])</f>
        <v>2026</v>
      </c>
      <c r="C193" s="182" t="str">
        <f t="shared" ca="1" si="7"/>
        <v>ON GOING</v>
      </c>
      <c r="D193" s="182"/>
      <c r="E193" s="55" t="s">
        <v>525</v>
      </c>
      <c r="F193" s="83" t="s">
        <v>860</v>
      </c>
      <c r="G193" s="183" t="s">
        <v>84</v>
      </c>
      <c r="H193" s="19" t="s">
        <v>1307</v>
      </c>
      <c r="I193" s="185" t="s">
        <v>435</v>
      </c>
      <c r="J193" s="478" t="s">
        <v>1214</v>
      </c>
      <c r="K193" s="212">
        <v>46009</v>
      </c>
      <c r="L193" s="188">
        <v>46003</v>
      </c>
      <c r="M193" s="188">
        <v>46367</v>
      </c>
      <c r="N193" s="517">
        <v>3460000000</v>
      </c>
      <c r="O193" s="517">
        <v>3359191500</v>
      </c>
      <c r="P193" s="200"/>
      <c r="Q193" s="200">
        <f>SUMIF('REALISASI 2026'!$C$7:$C$1048576,tProjectsMaster212[[#This Row],[Project_ID]],'REALISASI 2026'!$I$7:$I$1048576)</f>
        <v>2088000000</v>
      </c>
      <c r="R193" s="207">
        <f>tProjectsMaster212[[#This Row],[Actual cost (admin)]]/tProjectsMaster212[[#This Row],[Costbased]]</f>
        <v>0.62157813866818845</v>
      </c>
      <c r="S193" s="201"/>
      <c r="T193" s="192"/>
      <c r="U193" s="78"/>
      <c r="V193" s="78"/>
    </row>
    <row r="194" spans="1:22">
      <c r="A194" s="182" t="s">
        <v>662</v>
      </c>
      <c r="B194" s="182">
        <f>YEAR(tProjectsMaster212[[#This Row],[End Date]])</f>
        <v>2026</v>
      </c>
      <c r="C194" s="182" t="str">
        <f t="shared" ca="1" si="7"/>
        <v>ON GOING</v>
      </c>
      <c r="D194" s="182"/>
      <c r="E194" s="55" t="s">
        <v>513</v>
      </c>
      <c r="F194" s="83" t="s">
        <v>1028</v>
      </c>
      <c r="G194" s="243" t="s">
        <v>663</v>
      </c>
      <c r="H194" s="183" t="s">
        <v>1308</v>
      </c>
      <c r="I194" s="185" t="s">
        <v>1155</v>
      </c>
      <c r="J194" s="478"/>
      <c r="K194" s="212">
        <v>45908</v>
      </c>
      <c r="L194" s="188">
        <v>46023</v>
      </c>
      <c r="M194" s="188">
        <v>46387</v>
      </c>
      <c r="N194" s="193">
        <f>9450000000/3</f>
        <v>3150000000</v>
      </c>
      <c r="O194" s="516">
        <f>7419336750/3</f>
        <v>2473112250</v>
      </c>
      <c r="P194" s="200"/>
      <c r="Q194" s="200">
        <f>SUMIF('REALISASI 2026'!$C$7:$C$1048576,tProjectsMaster212[[#This Row],[Project_ID]],'REALISASI 2026'!$I$7:$I$1048576)</f>
        <v>525000</v>
      </c>
      <c r="R194" s="207">
        <f>tProjectsMaster212[[#This Row],[Actual cost (admin)]]/tProjectsMaster212[[#This Row],[Costbased]]</f>
        <v>2.1228312625114367E-4</v>
      </c>
      <c r="S194" s="201"/>
      <c r="T194" s="192">
        <v>0.47460000000000002</v>
      </c>
      <c r="U194" s="78"/>
      <c r="V194" s="78"/>
    </row>
    <row r="195" spans="1:22">
      <c r="A195" s="182" t="s">
        <v>662</v>
      </c>
      <c r="B195" s="182">
        <f>YEAR(tProjectsMaster212[[#This Row],[End Date]])</f>
        <v>2027</v>
      </c>
      <c r="C195" s="182" t="str">
        <f t="shared" ca="1" si="7"/>
        <v>FUTURE</v>
      </c>
      <c r="D195" s="182"/>
      <c r="E195" s="55" t="s">
        <v>513</v>
      </c>
      <c r="F195" s="83"/>
      <c r="G195" s="243" t="s">
        <v>663</v>
      </c>
      <c r="H195" s="183" t="s">
        <v>1308</v>
      </c>
      <c r="I195" s="185" t="s">
        <v>1155</v>
      </c>
      <c r="J195" s="478"/>
      <c r="K195" s="212">
        <v>45908</v>
      </c>
      <c r="L195" s="188">
        <v>46388</v>
      </c>
      <c r="M195" s="188">
        <v>46752</v>
      </c>
      <c r="N195" s="193">
        <f>9450000000/3</f>
        <v>3150000000</v>
      </c>
      <c r="O195" s="516">
        <f>7419336750/3</f>
        <v>2473112250</v>
      </c>
      <c r="P195" s="200"/>
      <c r="Q195" s="200"/>
      <c r="R195" s="207">
        <f>tProjectsMaster212[[#This Row],[Actual cost (admin)]]/tProjectsMaster212[[#This Row],[Costbased]]</f>
        <v>0</v>
      </c>
      <c r="S195" s="201"/>
      <c r="T195" s="192">
        <v>0.47460000000000002</v>
      </c>
      <c r="U195" s="78"/>
      <c r="V195" s="78"/>
    </row>
    <row r="196" spans="1:22">
      <c r="A196" s="182" t="s">
        <v>662</v>
      </c>
      <c r="B196" s="182">
        <f>YEAR(tProjectsMaster212[[#This Row],[End Date]])</f>
        <v>2028</v>
      </c>
      <c r="C196" s="182" t="str">
        <f t="shared" ca="1" si="7"/>
        <v>FUTURE</v>
      </c>
      <c r="D196" s="182"/>
      <c r="E196" s="55" t="s">
        <v>513</v>
      </c>
      <c r="F196" s="83"/>
      <c r="G196" s="198" t="s">
        <v>663</v>
      </c>
      <c r="H196" s="183" t="s">
        <v>1308</v>
      </c>
      <c r="I196" s="185" t="s">
        <v>1155</v>
      </c>
      <c r="J196" s="478"/>
      <c r="K196" s="212">
        <v>45908</v>
      </c>
      <c r="L196" s="188">
        <v>46753</v>
      </c>
      <c r="M196" s="188">
        <v>47118</v>
      </c>
      <c r="N196" s="193">
        <f>9450000000/3</f>
        <v>3150000000</v>
      </c>
      <c r="O196" s="516">
        <f>7419336750/3</f>
        <v>2473112250</v>
      </c>
      <c r="P196" s="200"/>
      <c r="Q196" s="200"/>
      <c r="R196" s="207">
        <f>tProjectsMaster212[[#This Row],[Actual cost (admin)]]/tProjectsMaster212[[#This Row],[Costbased]]</f>
        <v>0</v>
      </c>
      <c r="S196" s="201"/>
      <c r="T196" s="192">
        <v>0.47460000000000002</v>
      </c>
      <c r="U196" s="78"/>
      <c r="V196" s="78"/>
    </row>
    <row r="197" spans="1:22" hidden="1">
      <c r="A197" s="83" t="s">
        <v>665</v>
      </c>
      <c r="B197" s="182">
        <f>YEAR(tProjectsMaster212[[#This Row],[End Date]])</f>
        <v>2024</v>
      </c>
      <c r="C197" s="182" t="str">
        <f t="shared" ca="1" si="7"/>
        <v>CLOSED</v>
      </c>
      <c r="D197" s="182"/>
      <c r="E197" s="55" t="s">
        <v>510</v>
      </c>
      <c r="F197" s="83"/>
      <c r="G197" s="198" t="s">
        <v>666</v>
      </c>
      <c r="H197" s="183">
        <v>3950372483</v>
      </c>
      <c r="I197" s="185" t="s">
        <v>435</v>
      </c>
      <c r="J197" s="478"/>
      <c r="K197" s="212">
        <v>45566</v>
      </c>
      <c r="L197" s="188">
        <v>45566</v>
      </c>
      <c r="M197" s="188">
        <v>45657</v>
      </c>
      <c r="N197" s="193">
        <f>7307806000*(3/36)</f>
        <v>608983833.33333325</v>
      </c>
      <c r="O197" s="193">
        <f>6327428060*(3/36)</f>
        <v>527285671.66666663</v>
      </c>
      <c r="P197" s="200"/>
      <c r="Q197" s="200"/>
      <c r="R197" s="207">
        <f>tProjectsMaster212[[#This Row],[Actual cost (admin)]]/tProjectsMaster212[[#This Row],[Costbased]]</f>
        <v>0</v>
      </c>
      <c r="S197" s="201"/>
      <c r="T197" s="192"/>
      <c r="U197" s="78"/>
      <c r="V197" s="78"/>
    </row>
    <row r="198" spans="1:22" hidden="1">
      <c r="A198" s="83" t="s">
        <v>665</v>
      </c>
      <c r="B198" s="182">
        <f>YEAR(tProjectsMaster212[[#This Row],[End Date]])</f>
        <v>2025</v>
      </c>
      <c r="C198" s="182" t="str">
        <f t="shared" ca="1" si="7"/>
        <v>CLOSED</v>
      </c>
      <c r="D198" s="182"/>
      <c r="E198" s="55" t="s">
        <v>510</v>
      </c>
      <c r="F198" s="83"/>
      <c r="G198" s="198" t="s">
        <v>666</v>
      </c>
      <c r="H198" s="183">
        <v>3950372483</v>
      </c>
      <c r="I198" s="185" t="s">
        <v>435</v>
      </c>
      <c r="J198" s="478"/>
      <c r="K198" s="212">
        <v>45566</v>
      </c>
      <c r="L198" s="188">
        <v>45658</v>
      </c>
      <c r="M198" s="188">
        <v>46022</v>
      </c>
      <c r="N198" s="193">
        <f>7307806000*(12/36)</f>
        <v>2435935333.333333</v>
      </c>
      <c r="O198" s="193">
        <f>6327428060*(12/36)</f>
        <v>2109142686.6666665</v>
      </c>
      <c r="P198" s="200"/>
      <c r="Q198" s="200"/>
      <c r="R198" s="207">
        <f>tProjectsMaster212[[#This Row],[Actual cost (admin)]]/tProjectsMaster212[[#This Row],[Costbased]]</f>
        <v>0</v>
      </c>
      <c r="S198" s="201"/>
      <c r="T198" s="192"/>
      <c r="U198" s="78"/>
      <c r="V198" s="78"/>
    </row>
    <row r="199" spans="1:22" hidden="1">
      <c r="A199" s="83" t="s">
        <v>665</v>
      </c>
      <c r="B199" s="182">
        <f>YEAR(tProjectsMaster212[[#This Row],[End Date]])</f>
        <v>2026</v>
      </c>
      <c r="C199" s="182" t="str">
        <f t="shared" ca="1" si="7"/>
        <v>ON GOING</v>
      </c>
      <c r="D199" s="182"/>
      <c r="E199" s="55" t="s">
        <v>510</v>
      </c>
      <c r="F199" s="83" t="s">
        <v>860</v>
      </c>
      <c r="G199" s="198" t="s">
        <v>666</v>
      </c>
      <c r="H199" s="183">
        <v>3950372483</v>
      </c>
      <c r="I199" s="185" t="s">
        <v>435</v>
      </c>
      <c r="J199" s="478"/>
      <c r="K199" s="212">
        <v>45566</v>
      </c>
      <c r="L199" s="188">
        <v>46023</v>
      </c>
      <c r="M199" s="188">
        <v>46387</v>
      </c>
      <c r="N199" s="193">
        <f>7307806000*(12/36)</f>
        <v>2435935333.333333</v>
      </c>
      <c r="O199" s="193">
        <f>6327428060*(12/36)</f>
        <v>2109142686.6666665</v>
      </c>
      <c r="P199" s="200"/>
      <c r="Q199" s="200">
        <f>SUMIF('REALISASI 2026'!$C$7:$C$1048576,tProjectsMaster212[[#This Row],[Project_ID]],'REALISASI 2026'!$I$7:$I$1048576)</f>
        <v>2002000000</v>
      </c>
      <c r="R199" s="207">
        <f>tProjectsMaster212[[#This Row],[Actual cost (admin)]]/tProjectsMaster212[[#This Row],[Costbased]]</f>
        <v>0.94920083532328625</v>
      </c>
      <c r="S199" s="201"/>
      <c r="T199" s="192"/>
      <c r="U199" s="78"/>
      <c r="V199" s="78"/>
    </row>
    <row r="200" spans="1:22" hidden="1">
      <c r="A200" s="83" t="s">
        <v>665</v>
      </c>
      <c r="B200" s="182">
        <f>YEAR(tProjectsMaster212[[#This Row],[End Date]])</f>
        <v>2027</v>
      </c>
      <c r="C200" s="182" t="str">
        <f t="shared" ca="1" si="7"/>
        <v>FUTURE</v>
      </c>
      <c r="D200" s="182"/>
      <c r="E200" s="55" t="s">
        <v>510</v>
      </c>
      <c r="F200" s="83"/>
      <c r="G200" s="198" t="s">
        <v>666</v>
      </c>
      <c r="H200" s="183">
        <v>3950372483</v>
      </c>
      <c r="I200" s="185" t="s">
        <v>435</v>
      </c>
      <c r="J200" s="478"/>
      <c r="K200" s="212">
        <v>45566</v>
      </c>
      <c r="L200" s="188">
        <v>46388</v>
      </c>
      <c r="M200" s="188">
        <v>46660</v>
      </c>
      <c r="N200" s="193">
        <f>7307806000*(9/36)</f>
        <v>1826951500</v>
      </c>
      <c r="O200" s="193">
        <f>6327428060*(9/36)</f>
        <v>1581857015</v>
      </c>
      <c r="P200" s="200"/>
      <c r="Q200" s="200"/>
      <c r="R200" s="207">
        <f>tProjectsMaster212[[#This Row],[Actual cost (admin)]]/tProjectsMaster212[[#This Row],[Costbased]]</f>
        <v>0</v>
      </c>
      <c r="S200" s="201"/>
      <c r="T200" s="192"/>
      <c r="U200" s="78"/>
      <c r="V200" s="78"/>
    </row>
    <row r="201" spans="1:22" hidden="1">
      <c r="A201" s="83" t="s">
        <v>419</v>
      </c>
      <c r="B201" s="227">
        <f>YEAR(tProjectsMaster212[[#This Row],[End Date]])</f>
        <v>2026</v>
      </c>
      <c r="C201" s="227" t="str">
        <f t="shared" ca="1" si="7"/>
        <v>ON GOING</v>
      </c>
      <c r="D201" s="182"/>
      <c r="E201" s="55" t="s">
        <v>513</v>
      </c>
      <c r="F201" s="83" t="s">
        <v>1028</v>
      </c>
      <c r="G201" s="78" t="s">
        <v>256</v>
      </c>
      <c r="H201" s="184" t="s">
        <v>1278</v>
      </c>
      <c r="I201" s="324" t="s">
        <v>842</v>
      </c>
      <c r="J201" s="482"/>
      <c r="K201" s="186" t="s">
        <v>842</v>
      </c>
      <c r="L201" s="187">
        <v>46023</v>
      </c>
      <c r="M201" s="187">
        <v>46387</v>
      </c>
      <c r="N201" s="189" t="s">
        <v>842</v>
      </c>
      <c r="O201" s="189" t="s">
        <v>842</v>
      </c>
      <c r="P201" s="200"/>
      <c r="Q201" s="200">
        <f>SUMIF('REALISASI 2026'!$C$7:$C$1048576,tProjectsMaster212[[#This Row],[Project_ID]],'REALISASI 2026'!$I$7:$I$1048576)</f>
        <v>127600153</v>
      </c>
      <c r="R201" s="207" t="e">
        <f>tProjectsMaster212[[#This Row],[Actual cost (admin)]]/tProjectsMaster212[[#This Row],[Costbased]]</f>
        <v>#VALUE!</v>
      </c>
      <c r="S201" s="201"/>
      <c r="T201" s="192"/>
      <c r="U201" s="78" t="s">
        <v>1309</v>
      </c>
      <c r="V201" s="78"/>
    </row>
    <row r="202" spans="1:22" hidden="1">
      <c r="A202" s="83" t="s">
        <v>669</v>
      </c>
      <c r="B202" s="182">
        <f>YEAR(tProjectsMaster212[[#This Row],[End Date]])</f>
        <v>2026</v>
      </c>
      <c r="C202" s="182" t="str">
        <f t="shared" ca="1" si="7"/>
        <v>CLOSED</v>
      </c>
      <c r="D202" s="182"/>
      <c r="E202" s="55" t="s">
        <v>513</v>
      </c>
      <c r="F202" s="83" t="s">
        <v>860</v>
      </c>
      <c r="G202" s="198" t="s">
        <v>670</v>
      </c>
      <c r="H202" s="183" t="s">
        <v>1310</v>
      </c>
      <c r="I202" s="185" t="s">
        <v>1155</v>
      </c>
      <c r="J202" s="478"/>
      <c r="K202" s="212">
        <v>46199</v>
      </c>
      <c r="L202" s="188">
        <v>46199</v>
      </c>
      <c r="M202" s="188">
        <v>46234</v>
      </c>
      <c r="N202" s="193">
        <v>13486512</v>
      </c>
      <c r="O202" s="193">
        <v>12905750</v>
      </c>
      <c r="P202" s="200"/>
      <c r="Q202" s="200">
        <f>SUMIF('REALISASI 2026'!$C$7:$C$1048576,tProjectsMaster212[[#This Row],[Project_ID]],'REALISASI 2026'!$I$7:$I$1048576)</f>
        <v>0</v>
      </c>
      <c r="R202" s="207">
        <f>tProjectsMaster212[[#This Row],[Actual cost (admin)]]/tProjectsMaster212[[#This Row],[Costbased]]</f>
        <v>0</v>
      </c>
      <c r="S202" s="201"/>
      <c r="T202" s="192"/>
      <c r="U202" s="78"/>
      <c r="V202" s="78"/>
    </row>
    <row r="203" spans="1:22" hidden="1">
      <c r="A203" s="182" t="s">
        <v>672</v>
      </c>
      <c r="B203" s="182">
        <f>YEAR(tProjectsMaster212[[#This Row],[End Date]])</f>
        <v>2026</v>
      </c>
      <c r="C203" s="320" t="str">
        <f t="shared" ca="1" si="7"/>
        <v>CLOSED</v>
      </c>
      <c r="D203" s="182"/>
      <c r="E203" s="55" t="s">
        <v>531</v>
      </c>
      <c r="F203" s="83" t="s">
        <v>860</v>
      </c>
      <c r="G203" s="198" t="s">
        <v>1311</v>
      </c>
      <c r="H203" s="183" t="s">
        <v>1312</v>
      </c>
      <c r="I203" s="185" t="s">
        <v>1155</v>
      </c>
      <c r="J203" s="478"/>
      <c r="K203" s="212">
        <v>46218</v>
      </c>
      <c r="L203" s="188">
        <v>46230</v>
      </c>
      <c r="M203" s="188">
        <v>46233</v>
      </c>
      <c r="N203" s="193">
        <v>264421341</v>
      </c>
      <c r="O203" s="517">
        <v>215200450</v>
      </c>
      <c r="P203" s="200"/>
      <c r="Q203" s="200"/>
      <c r="R203" s="207">
        <f>tProjectsMaster212[[#This Row],[Actual cost (admin)]]/tProjectsMaster212[[#This Row],[Costbased]]</f>
        <v>0</v>
      </c>
      <c r="S203" s="201"/>
      <c r="T203" s="192"/>
      <c r="U203" s="78"/>
      <c r="V203" s="78"/>
    </row>
    <row r="204" spans="1:22" ht="15" hidden="1">
      <c r="A204" s="182" t="s">
        <v>760</v>
      </c>
      <c r="B204" s="55">
        <f>YEAR(tProjectsMaster212[[#This Row],[End Date]])</f>
        <v>2026</v>
      </c>
      <c r="C204" s="55" t="str">
        <f t="shared" ca="1" si="7"/>
        <v>ON GOING</v>
      </c>
      <c r="D204" s="216"/>
      <c r="E204" s="55" t="s">
        <v>644</v>
      </c>
      <c r="F204" s="83" t="s">
        <v>1028</v>
      </c>
      <c r="G204" s="78" t="s">
        <v>761</v>
      </c>
      <c r="H204" s="239" t="s">
        <v>842</v>
      </c>
      <c r="I204" s="185" t="s">
        <v>1155</v>
      </c>
      <c r="J204" s="478" t="s">
        <v>1209</v>
      </c>
      <c r="K204" s="188">
        <v>46007</v>
      </c>
      <c r="L204" s="188">
        <v>46023</v>
      </c>
      <c r="M204" s="188">
        <v>46387</v>
      </c>
      <c r="N204" s="189">
        <f>56274400*12</f>
        <v>675292800</v>
      </c>
      <c r="O204" s="527">
        <f>1645459200/3</f>
        <v>548486400</v>
      </c>
      <c r="P204" s="200"/>
      <c r="Q204" s="190">
        <f>SUMIF('REALISASI 2026'!$C$7:$C$1048576,tProjectsMaster212[[#This Row],[Project_ID]],'REALISASI 2026'!$I$7:$I$1048576)</f>
        <v>0</v>
      </c>
      <c r="R204" s="195">
        <f>tProjectsMaster212[[#This Row],[Actual cost (admin)]]/tProjectsMaster212[[#This Row],[Costbased]]</f>
        <v>0</v>
      </c>
      <c r="S204" s="191"/>
      <c r="T204" s="192"/>
      <c r="U204" s="240"/>
      <c r="V204" s="78"/>
    </row>
    <row r="205" spans="1:22" ht="15" hidden="1">
      <c r="A205" s="182" t="s">
        <v>760</v>
      </c>
      <c r="B205" s="55">
        <f>YEAR(tProjectsMaster212[[#This Row],[End Date]])</f>
        <v>2027</v>
      </c>
      <c r="C205" s="55" t="str">
        <f t="shared" ca="1" si="7"/>
        <v>FUTURE</v>
      </c>
      <c r="D205" s="216"/>
      <c r="E205" s="55" t="s">
        <v>644</v>
      </c>
      <c r="F205" s="83" t="s">
        <v>1028</v>
      </c>
      <c r="G205" s="78" t="s">
        <v>761</v>
      </c>
      <c r="H205" s="239" t="s">
        <v>842</v>
      </c>
      <c r="I205" s="185" t="s">
        <v>1155</v>
      </c>
      <c r="J205" s="478" t="s">
        <v>1209</v>
      </c>
      <c r="K205" s="188">
        <v>46007</v>
      </c>
      <c r="L205" s="188">
        <v>46388</v>
      </c>
      <c r="M205" s="188">
        <v>46752</v>
      </c>
      <c r="N205" s="189">
        <f>56274400*12</f>
        <v>675292800</v>
      </c>
      <c r="O205" s="527">
        <f>1645459200/3</f>
        <v>548486400</v>
      </c>
      <c r="P205" s="200"/>
      <c r="Q205" s="190">
        <f>SUMIF('REALISASI 2026'!$C$7:$C$1048576,tProjectsMaster212[[#This Row],[Project_ID]],'REALISASI 2026'!$I$7:$I$1048576)</f>
        <v>0</v>
      </c>
      <c r="R205" s="195">
        <f>tProjectsMaster212[[#This Row],[Actual cost (admin)]]/tProjectsMaster212[[#This Row],[Costbased]]</f>
        <v>0</v>
      </c>
      <c r="S205" s="191"/>
      <c r="T205" s="192"/>
      <c r="U205" s="240"/>
      <c r="V205" s="78"/>
    </row>
    <row r="206" spans="1:22" ht="15" hidden="1">
      <c r="A206" s="182" t="s">
        <v>760</v>
      </c>
      <c r="B206" s="55">
        <f>YEAR(tProjectsMaster212[[#This Row],[End Date]])</f>
        <v>2028</v>
      </c>
      <c r="C206" s="55" t="str">
        <f t="shared" ca="1" si="7"/>
        <v>FUTURE</v>
      </c>
      <c r="D206" s="216"/>
      <c r="E206" s="55" t="s">
        <v>644</v>
      </c>
      <c r="F206" s="83" t="s">
        <v>1028</v>
      </c>
      <c r="G206" s="78" t="s">
        <v>761</v>
      </c>
      <c r="H206" s="239" t="s">
        <v>842</v>
      </c>
      <c r="I206" s="185" t="s">
        <v>1155</v>
      </c>
      <c r="J206" s="478" t="s">
        <v>1209</v>
      </c>
      <c r="K206" s="188">
        <v>46007</v>
      </c>
      <c r="L206" s="188">
        <v>46753</v>
      </c>
      <c r="M206" s="188">
        <v>47103</v>
      </c>
      <c r="N206" s="189">
        <f>56274400*12</f>
        <v>675292800</v>
      </c>
      <c r="O206" s="527">
        <f>1645459200/3</f>
        <v>548486400</v>
      </c>
      <c r="P206" s="200"/>
      <c r="Q206" s="190">
        <f>SUMIF('REALISASI 2026'!$C$7:$C$1048576,tProjectsMaster212[[#This Row],[Project_ID]],'REALISASI 2026'!$I$7:$I$1048576)</f>
        <v>0</v>
      </c>
      <c r="R206" s="195">
        <f>tProjectsMaster212[[#This Row],[Actual cost (admin)]]/tProjectsMaster212[[#This Row],[Costbased]]</f>
        <v>0</v>
      </c>
      <c r="S206" s="191"/>
      <c r="T206" s="192"/>
      <c r="U206" s="240"/>
      <c r="V206" s="78"/>
    </row>
    <row r="207" spans="1:22" ht="15" hidden="1">
      <c r="A207" s="182" t="s">
        <v>762</v>
      </c>
      <c r="B207" s="55">
        <f>YEAR(tProjectsMaster212[[#This Row],[End Date]])</f>
        <v>2026</v>
      </c>
      <c r="C207" s="55" t="str">
        <f t="shared" ca="1" si="7"/>
        <v>ON GOING</v>
      </c>
      <c r="D207" s="216"/>
      <c r="E207" s="55" t="s">
        <v>644</v>
      </c>
      <c r="F207" s="83" t="s">
        <v>1028</v>
      </c>
      <c r="G207" s="78" t="s">
        <v>763</v>
      </c>
      <c r="H207" s="10" t="s">
        <v>1313</v>
      </c>
      <c r="I207" s="185" t="s">
        <v>1155</v>
      </c>
      <c r="J207" s="478" t="s">
        <v>1209</v>
      </c>
      <c r="K207" s="188">
        <v>46007</v>
      </c>
      <c r="L207" s="188">
        <v>46023</v>
      </c>
      <c r="M207" s="188">
        <v>46387</v>
      </c>
      <c r="N207" s="515">
        <f>104710580*12</f>
        <v>1256526960</v>
      </c>
      <c r="O207" s="527">
        <f>3061729440/3</f>
        <v>1020576480</v>
      </c>
      <c r="P207" s="200"/>
      <c r="Q207" s="190">
        <f>SUMIF('REALISASI 2026'!$C$7:$C$1048576,tProjectsMaster212[[#This Row],[Project_ID]],'REALISASI 2026'!$I$7:$I$1048576)</f>
        <v>0</v>
      </c>
      <c r="R207" s="195">
        <f>tProjectsMaster212[[#This Row],[Actual cost (admin)]]/tProjectsMaster212[[#This Row],[Costbased]]</f>
        <v>0</v>
      </c>
      <c r="S207" s="191"/>
      <c r="T207" s="192"/>
      <c r="U207" s="240"/>
      <c r="V207" s="78"/>
    </row>
    <row r="208" spans="1:22" ht="15" hidden="1">
      <c r="A208" s="182" t="s">
        <v>762</v>
      </c>
      <c r="B208" s="55">
        <f>YEAR(tProjectsMaster212[[#This Row],[End Date]])</f>
        <v>2027</v>
      </c>
      <c r="C208" s="55" t="str">
        <f t="shared" ca="1" si="7"/>
        <v>FUTURE</v>
      </c>
      <c r="D208" s="216"/>
      <c r="E208" s="55" t="s">
        <v>644</v>
      </c>
      <c r="F208" s="83" t="s">
        <v>1028</v>
      </c>
      <c r="G208" s="78" t="s">
        <v>763</v>
      </c>
      <c r="H208" s="10" t="s">
        <v>1313</v>
      </c>
      <c r="I208" s="185" t="s">
        <v>1155</v>
      </c>
      <c r="J208" s="478" t="s">
        <v>1209</v>
      </c>
      <c r="K208" s="188">
        <v>46007</v>
      </c>
      <c r="L208" s="188">
        <v>46388</v>
      </c>
      <c r="M208" s="188">
        <v>46752</v>
      </c>
      <c r="N208" s="515">
        <f>104710580*12</f>
        <v>1256526960</v>
      </c>
      <c r="O208" s="527">
        <f>3061729440/3</f>
        <v>1020576480</v>
      </c>
      <c r="P208" s="200"/>
      <c r="Q208" s="190">
        <f>SUMIF('REALISASI 2026'!$C$7:$C$1048576,tProjectsMaster212[[#This Row],[Project_ID]],'REALISASI 2026'!$I$7:$I$1048576)</f>
        <v>0</v>
      </c>
      <c r="R208" s="195">
        <f>tProjectsMaster212[[#This Row],[Actual cost (admin)]]/tProjectsMaster212[[#This Row],[Costbased]]</f>
        <v>0</v>
      </c>
      <c r="S208" s="191"/>
      <c r="T208" s="192"/>
      <c r="U208" s="240"/>
      <c r="V208" s="78"/>
    </row>
    <row r="209" spans="1:22" ht="15" hidden="1">
      <c r="A209" s="182" t="s">
        <v>762</v>
      </c>
      <c r="B209" s="55">
        <f>YEAR(tProjectsMaster212[[#This Row],[End Date]])</f>
        <v>2028</v>
      </c>
      <c r="C209" s="55" t="str">
        <f t="shared" ca="1" si="7"/>
        <v>FUTURE</v>
      </c>
      <c r="D209" s="216"/>
      <c r="E209" s="55" t="s">
        <v>644</v>
      </c>
      <c r="F209" s="83" t="s">
        <v>1028</v>
      </c>
      <c r="G209" s="78" t="s">
        <v>763</v>
      </c>
      <c r="H209" s="10" t="s">
        <v>1313</v>
      </c>
      <c r="I209" s="185" t="s">
        <v>1155</v>
      </c>
      <c r="J209" s="478" t="s">
        <v>1209</v>
      </c>
      <c r="K209" s="188">
        <v>46007</v>
      </c>
      <c r="L209" s="188">
        <v>46753</v>
      </c>
      <c r="M209" s="188">
        <v>47103</v>
      </c>
      <c r="N209" s="515">
        <f>104710580*12</f>
        <v>1256526960</v>
      </c>
      <c r="O209" s="527">
        <f>3061729440/3</f>
        <v>1020576480</v>
      </c>
      <c r="P209" s="200"/>
      <c r="Q209" s="190">
        <f>SUMIF('REALISASI 2026'!$C$7:$C$1048576,tProjectsMaster212[[#This Row],[Project_ID]],'REALISASI 2026'!$I$7:$I$1048576)</f>
        <v>0</v>
      </c>
      <c r="R209" s="195">
        <f>tProjectsMaster212[[#This Row],[Actual cost (admin)]]/tProjectsMaster212[[#This Row],[Costbased]]</f>
        <v>0</v>
      </c>
      <c r="S209" s="191"/>
      <c r="T209" s="192"/>
      <c r="U209" s="240"/>
      <c r="V209" s="78"/>
    </row>
    <row r="210" spans="1:22" ht="15" hidden="1">
      <c r="A210" s="182" t="s">
        <v>764</v>
      </c>
      <c r="B210" s="55">
        <f>YEAR(tProjectsMaster212[[#This Row],[End Date]])</f>
        <v>2026</v>
      </c>
      <c r="C210" s="55" t="str">
        <f t="shared" ca="1" si="7"/>
        <v>ON GOING</v>
      </c>
      <c r="D210" s="216"/>
      <c r="E210" s="55" t="s">
        <v>644</v>
      </c>
      <c r="F210" s="83" t="s">
        <v>1028</v>
      </c>
      <c r="G210" s="78" t="s">
        <v>765</v>
      </c>
      <c r="H210" s="10" t="s">
        <v>1314</v>
      </c>
      <c r="I210" s="185" t="s">
        <v>1155</v>
      </c>
      <c r="J210" s="478" t="s">
        <v>1209</v>
      </c>
      <c r="K210" s="188">
        <v>46007</v>
      </c>
      <c r="L210" s="188">
        <v>46023</v>
      </c>
      <c r="M210" s="188">
        <v>46387</v>
      </c>
      <c r="N210" s="526">
        <f>8742630*12</f>
        <v>104911560</v>
      </c>
      <c r="O210" s="527">
        <f>255633840/3</f>
        <v>85211280</v>
      </c>
      <c r="P210" s="200"/>
      <c r="Q210" s="190">
        <f>SUMIF('REALISASI 2026'!$C$7:$C$1048576,tProjectsMaster212[[#This Row],[Project_ID]],'REALISASI 2026'!$I$7:$I$1048576)</f>
        <v>0</v>
      </c>
      <c r="R210" s="195">
        <f>tProjectsMaster212[[#This Row],[Actual cost (admin)]]/tProjectsMaster212[[#This Row],[Costbased]]</f>
        <v>0</v>
      </c>
      <c r="S210" s="191"/>
      <c r="T210" s="192"/>
      <c r="U210" s="240"/>
      <c r="V210" s="78"/>
    </row>
    <row r="211" spans="1:22" ht="15" hidden="1">
      <c r="A211" s="182" t="s">
        <v>764</v>
      </c>
      <c r="B211" s="55">
        <f>YEAR(tProjectsMaster212[[#This Row],[End Date]])</f>
        <v>2027</v>
      </c>
      <c r="C211" s="55" t="str">
        <f t="shared" ca="1" si="7"/>
        <v>FUTURE</v>
      </c>
      <c r="D211" s="216"/>
      <c r="E211" s="55" t="s">
        <v>644</v>
      </c>
      <c r="F211" s="83" t="s">
        <v>1028</v>
      </c>
      <c r="G211" s="78" t="s">
        <v>765</v>
      </c>
      <c r="H211" s="10" t="s">
        <v>1314</v>
      </c>
      <c r="I211" s="185" t="s">
        <v>1155</v>
      </c>
      <c r="J211" s="478" t="s">
        <v>1209</v>
      </c>
      <c r="K211" s="188">
        <v>46007</v>
      </c>
      <c r="L211" s="188">
        <v>46388</v>
      </c>
      <c r="M211" s="188">
        <v>46752</v>
      </c>
      <c r="N211" s="526">
        <f>8742630*12</f>
        <v>104911560</v>
      </c>
      <c r="O211" s="527">
        <f>255633840/3</f>
        <v>85211280</v>
      </c>
      <c r="P211" s="200"/>
      <c r="Q211" s="190">
        <f>SUMIF('REALISASI 2026'!$C$7:$C$1048576,tProjectsMaster212[[#This Row],[Project_ID]],'REALISASI 2026'!$I$7:$I$1048576)</f>
        <v>0</v>
      </c>
      <c r="R211" s="195">
        <f>tProjectsMaster212[[#This Row],[Actual cost (admin)]]/tProjectsMaster212[[#This Row],[Costbased]]</f>
        <v>0</v>
      </c>
      <c r="S211" s="191"/>
      <c r="T211" s="192"/>
      <c r="U211" s="240"/>
      <c r="V211" s="78"/>
    </row>
    <row r="212" spans="1:22" ht="15" hidden="1">
      <c r="A212" s="182" t="s">
        <v>764</v>
      </c>
      <c r="B212" s="55">
        <f>YEAR(tProjectsMaster212[[#This Row],[End Date]])</f>
        <v>2028</v>
      </c>
      <c r="C212" s="55" t="str">
        <f t="shared" ref="C212:C238" ca="1" si="8">IF(L212&gt;TODAY(),"FUTURE",IF(M212&gt;TODAY(),"ON GOING","CLOSED"))</f>
        <v>FUTURE</v>
      </c>
      <c r="D212" s="216"/>
      <c r="E212" s="55" t="s">
        <v>644</v>
      </c>
      <c r="F212" s="83" t="s">
        <v>1028</v>
      </c>
      <c r="G212" s="78" t="s">
        <v>765</v>
      </c>
      <c r="H212" s="10" t="s">
        <v>1314</v>
      </c>
      <c r="I212" s="185" t="s">
        <v>1155</v>
      </c>
      <c r="J212" s="478" t="s">
        <v>1209</v>
      </c>
      <c r="K212" s="188">
        <v>46007</v>
      </c>
      <c r="L212" s="188">
        <v>46753</v>
      </c>
      <c r="M212" s="188">
        <v>47103</v>
      </c>
      <c r="N212" s="526">
        <f>8742630*12</f>
        <v>104911560</v>
      </c>
      <c r="O212" s="52">
        <f>255633840/3</f>
        <v>85211280</v>
      </c>
      <c r="P212" s="200"/>
      <c r="Q212" s="190">
        <f>SUMIF('REALISASI 2026'!$C$7:$C$1048576,tProjectsMaster212[[#This Row],[Project_ID]],'REALISASI 2026'!$I$7:$I$1048576)</f>
        <v>0</v>
      </c>
      <c r="R212" s="195">
        <f>tProjectsMaster212[[#This Row],[Actual cost (admin)]]/tProjectsMaster212[[#This Row],[Costbased]]</f>
        <v>0</v>
      </c>
      <c r="S212" s="191"/>
      <c r="T212" s="192"/>
      <c r="U212" s="240"/>
      <c r="V212" s="78"/>
    </row>
    <row r="213" spans="1:22" ht="15" hidden="1">
      <c r="A213" s="182" t="s">
        <v>766</v>
      </c>
      <c r="B213" s="55">
        <f>YEAR(tProjectsMaster212[[#This Row],[End Date]])</f>
        <v>2026</v>
      </c>
      <c r="C213" s="55" t="str">
        <f t="shared" ca="1" si="8"/>
        <v>ON GOING</v>
      </c>
      <c r="D213" s="216"/>
      <c r="E213" s="55" t="s">
        <v>644</v>
      </c>
      <c r="F213" s="83" t="s">
        <v>1028</v>
      </c>
      <c r="G213" s="78" t="s">
        <v>767</v>
      </c>
      <c r="H213" s="10" t="s">
        <v>1315</v>
      </c>
      <c r="I213" s="185" t="s">
        <v>1155</v>
      </c>
      <c r="J213" s="478" t="s">
        <v>1209</v>
      </c>
      <c r="K213" s="188">
        <v>46007</v>
      </c>
      <c r="L213" s="188">
        <v>46023</v>
      </c>
      <c r="M213" s="188">
        <v>46387</v>
      </c>
      <c r="N213" s="515">
        <f>10049000*12</f>
        <v>120588000</v>
      </c>
      <c r="O213" s="52">
        <f>293832000/3</f>
        <v>97944000</v>
      </c>
      <c r="P213" s="200"/>
      <c r="Q213" s="190">
        <f>SUMIF('REALISASI 2026'!$C$7:$C$1048576,tProjectsMaster212[[#This Row],[Project_ID]],'REALISASI 2026'!$I$7:$I$1048576)</f>
        <v>0</v>
      </c>
      <c r="R213" s="195">
        <f>tProjectsMaster212[[#This Row],[Actual cost (admin)]]/tProjectsMaster212[[#This Row],[Costbased]]</f>
        <v>0</v>
      </c>
      <c r="S213" s="191"/>
      <c r="T213" s="192"/>
      <c r="U213" s="240"/>
      <c r="V213" s="78"/>
    </row>
    <row r="214" spans="1:22" ht="15" hidden="1">
      <c r="A214" s="182" t="s">
        <v>766</v>
      </c>
      <c r="B214" s="55">
        <f>YEAR(tProjectsMaster212[[#This Row],[End Date]])</f>
        <v>2027</v>
      </c>
      <c r="C214" s="55" t="str">
        <f t="shared" ca="1" si="8"/>
        <v>FUTURE</v>
      </c>
      <c r="D214" s="216"/>
      <c r="E214" s="55" t="s">
        <v>644</v>
      </c>
      <c r="F214" s="83" t="s">
        <v>1028</v>
      </c>
      <c r="G214" s="78" t="s">
        <v>767</v>
      </c>
      <c r="H214" s="10" t="s">
        <v>1315</v>
      </c>
      <c r="I214" s="185" t="s">
        <v>1155</v>
      </c>
      <c r="J214" s="478" t="s">
        <v>1209</v>
      </c>
      <c r="K214" s="188">
        <v>46007</v>
      </c>
      <c r="L214" s="188">
        <v>46388</v>
      </c>
      <c r="M214" s="188">
        <v>46752</v>
      </c>
      <c r="N214" s="515">
        <f>10049000*12</f>
        <v>120588000</v>
      </c>
      <c r="O214" s="52">
        <f>293832000/3</f>
        <v>97944000</v>
      </c>
      <c r="P214" s="200"/>
      <c r="Q214" s="190">
        <f>SUMIF('REALISASI 2026'!$C$7:$C$1048576,tProjectsMaster212[[#This Row],[Project_ID]],'REALISASI 2026'!$I$7:$I$1048576)</f>
        <v>0</v>
      </c>
      <c r="R214" s="195">
        <f>tProjectsMaster212[[#This Row],[Actual cost (admin)]]/tProjectsMaster212[[#This Row],[Costbased]]</f>
        <v>0</v>
      </c>
      <c r="S214" s="191"/>
      <c r="T214" s="192"/>
      <c r="U214" s="240"/>
      <c r="V214" s="78"/>
    </row>
    <row r="215" spans="1:22" ht="15" hidden="1">
      <c r="A215" s="182" t="s">
        <v>766</v>
      </c>
      <c r="B215" s="55">
        <f>YEAR(tProjectsMaster212[[#This Row],[End Date]])</f>
        <v>2028</v>
      </c>
      <c r="C215" s="55" t="str">
        <f t="shared" ca="1" si="8"/>
        <v>FUTURE</v>
      </c>
      <c r="D215" s="216"/>
      <c r="E215" s="55" t="s">
        <v>644</v>
      </c>
      <c r="F215" s="83" t="s">
        <v>1028</v>
      </c>
      <c r="G215" s="78" t="s">
        <v>767</v>
      </c>
      <c r="H215" s="10" t="s">
        <v>1315</v>
      </c>
      <c r="I215" s="185" t="s">
        <v>1155</v>
      </c>
      <c r="J215" s="478" t="s">
        <v>1209</v>
      </c>
      <c r="K215" s="188">
        <v>46007</v>
      </c>
      <c r="L215" s="188">
        <v>46753</v>
      </c>
      <c r="M215" s="188">
        <v>47103</v>
      </c>
      <c r="N215" s="515">
        <f>10049000*12</f>
        <v>120588000</v>
      </c>
      <c r="O215" s="52">
        <f>293832000/3</f>
        <v>97944000</v>
      </c>
      <c r="P215" s="200"/>
      <c r="Q215" s="190">
        <f>SUMIF('REALISASI 2026'!$C$7:$C$1048576,tProjectsMaster212[[#This Row],[Project_ID]],'REALISASI 2026'!$I$7:$I$1048576)</f>
        <v>0</v>
      </c>
      <c r="R215" s="195">
        <f>tProjectsMaster212[[#This Row],[Actual cost (admin)]]/tProjectsMaster212[[#This Row],[Costbased]]</f>
        <v>0</v>
      </c>
      <c r="S215" s="191"/>
      <c r="T215" s="192"/>
      <c r="U215" s="240"/>
      <c r="V215" s="78"/>
    </row>
    <row r="216" spans="1:22" ht="15" hidden="1">
      <c r="A216" s="182" t="s">
        <v>768</v>
      </c>
      <c r="B216" s="55">
        <f>YEAR(tProjectsMaster212[[#This Row],[End Date]])</f>
        <v>2026</v>
      </c>
      <c r="C216" s="55" t="str">
        <f t="shared" ca="1" si="8"/>
        <v>ON GOING</v>
      </c>
      <c r="D216" s="216"/>
      <c r="E216" s="55" t="s">
        <v>644</v>
      </c>
      <c r="F216" s="83" t="s">
        <v>1028</v>
      </c>
      <c r="G216" s="78" t="s">
        <v>769</v>
      </c>
      <c r="H216" s="239" t="s">
        <v>842</v>
      </c>
      <c r="I216" s="185" t="s">
        <v>1155</v>
      </c>
      <c r="J216" s="478" t="s">
        <v>1209</v>
      </c>
      <c r="K216" s="188">
        <v>46007</v>
      </c>
      <c r="L216" s="188">
        <v>46023</v>
      </c>
      <c r="M216" s="188">
        <v>46387</v>
      </c>
      <c r="N216" s="189">
        <f>13063700*12</f>
        <v>156764400</v>
      </c>
      <c r="O216" s="52">
        <f>381981600/3</f>
        <v>127327200</v>
      </c>
      <c r="P216" s="200"/>
      <c r="Q216" s="190">
        <f>SUMIF('REALISASI 2026'!$C$7:$C$1048576,tProjectsMaster212[[#This Row],[Project_ID]],'REALISASI 2026'!$I$7:$I$1048576)</f>
        <v>0</v>
      </c>
      <c r="R216" s="195">
        <f>tProjectsMaster212[[#This Row],[Actual cost (admin)]]/tProjectsMaster212[[#This Row],[Costbased]]</f>
        <v>0</v>
      </c>
      <c r="S216" s="191"/>
      <c r="T216" s="192"/>
      <c r="U216" s="240"/>
      <c r="V216" s="78"/>
    </row>
    <row r="217" spans="1:22" ht="15" hidden="1">
      <c r="A217" s="182" t="s">
        <v>768</v>
      </c>
      <c r="B217" s="55">
        <f>YEAR(tProjectsMaster212[[#This Row],[End Date]])</f>
        <v>2027</v>
      </c>
      <c r="C217" s="55" t="str">
        <f t="shared" ca="1" si="8"/>
        <v>FUTURE</v>
      </c>
      <c r="D217" s="216"/>
      <c r="E217" s="55" t="s">
        <v>644</v>
      </c>
      <c r="F217" s="83" t="s">
        <v>1028</v>
      </c>
      <c r="G217" s="78" t="s">
        <v>769</v>
      </c>
      <c r="H217" s="239" t="s">
        <v>842</v>
      </c>
      <c r="I217" s="185" t="s">
        <v>1155</v>
      </c>
      <c r="J217" s="478" t="s">
        <v>1209</v>
      </c>
      <c r="K217" s="188">
        <v>46007</v>
      </c>
      <c r="L217" s="188">
        <v>46388</v>
      </c>
      <c r="M217" s="188">
        <v>46752</v>
      </c>
      <c r="N217" s="189">
        <f>13063700*12</f>
        <v>156764400</v>
      </c>
      <c r="O217" s="52">
        <f>381981600/3</f>
        <v>127327200</v>
      </c>
      <c r="P217" s="200"/>
      <c r="Q217" s="190">
        <f>SUMIF('REALISASI 2026'!$C$7:$C$1048576,tProjectsMaster212[[#This Row],[Project_ID]],'REALISASI 2026'!$I$7:$I$1048576)</f>
        <v>0</v>
      </c>
      <c r="R217" s="195">
        <f>tProjectsMaster212[[#This Row],[Actual cost (admin)]]/tProjectsMaster212[[#This Row],[Costbased]]</f>
        <v>0</v>
      </c>
      <c r="S217" s="191"/>
      <c r="T217" s="192"/>
      <c r="U217" s="240"/>
      <c r="V217" s="78"/>
    </row>
    <row r="218" spans="1:22" ht="15" hidden="1">
      <c r="A218" s="182" t="s">
        <v>768</v>
      </c>
      <c r="B218" s="55">
        <f>YEAR(tProjectsMaster212[[#This Row],[End Date]])</f>
        <v>2028</v>
      </c>
      <c r="C218" s="55" t="str">
        <f t="shared" ca="1" si="8"/>
        <v>FUTURE</v>
      </c>
      <c r="D218" s="216"/>
      <c r="E218" s="55" t="s">
        <v>644</v>
      </c>
      <c r="F218" s="83" t="s">
        <v>1028</v>
      </c>
      <c r="G218" s="78" t="s">
        <v>769</v>
      </c>
      <c r="H218" s="239" t="s">
        <v>842</v>
      </c>
      <c r="I218" s="185" t="s">
        <v>1155</v>
      </c>
      <c r="J218" s="478" t="s">
        <v>1209</v>
      </c>
      <c r="K218" s="188">
        <v>46007</v>
      </c>
      <c r="L218" s="188">
        <v>46753</v>
      </c>
      <c r="M218" s="188">
        <v>47103</v>
      </c>
      <c r="N218" s="189">
        <f>13063700*12</f>
        <v>156764400</v>
      </c>
      <c r="O218" s="52">
        <f>381981600/3</f>
        <v>127327200</v>
      </c>
      <c r="P218" s="200"/>
      <c r="Q218" s="190">
        <f>SUMIF('REALISASI 2026'!$C$7:$C$1048576,tProjectsMaster212[[#This Row],[Project_ID]],'REALISASI 2026'!$I$7:$I$1048576)</f>
        <v>0</v>
      </c>
      <c r="R218" s="195">
        <f>tProjectsMaster212[[#This Row],[Actual cost (admin)]]/tProjectsMaster212[[#This Row],[Costbased]]</f>
        <v>0</v>
      </c>
      <c r="S218" s="191"/>
      <c r="T218" s="192"/>
      <c r="U218" s="240"/>
      <c r="V218" s="78"/>
    </row>
    <row r="219" spans="1:22" ht="15" hidden="1">
      <c r="A219" s="182" t="s">
        <v>770</v>
      </c>
      <c r="B219" s="55">
        <f>YEAR(tProjectsMaster212[[#This Row],[End Date]])</f>
        <v>2026</v>
      </c>
      <c r="C219" s="55" t="str">
        <f t="shared" ca="1" si="8"/>
        <v>ON GOING</v>
      </c>
      <c r="D219" s="216"/>
      <c r="E219" s="55" t="s">
        <v>644</v>
      </c>
      <c r="F219" s="83" t="s">
        <v>1028</v>
      </c>
      <c r="G219" s="78" t="s">
        <v>771</v>
      </c>
      <c r="H219" s="198" t="s">
        <v>1316</v>
      </c>
      <c r="I219" s="185" t="s">
        <v>1155</v>
      </c>
      <c r="J219" s="478" t="s">
        <v>1209</v>
      </c>
      <c r="K219" s="188">
        <v>46007</v>
      </c>
      <c r="L219" s="188">
        <v>46023</v>
      </c>
      <c r="M219" s="188">
        <v>46387</v>
      </c>
      <c r="N219" s="193">
        <f>12963210*12</f>
        <v>155558520</v>
      </c>
      <c r="O219" s="200">
        <f>379043280/3</f>
        <v>126347760</v>
      </c>
      <c r="P219" s="200"/>
      <c r="Q219" s="190">
        <f>SUMIF('REALISASI 2026'!$C$7:$C$1048576,tProjectsMaster212[[#This Row],[Project_ID]],'REALISASI 2026'!$I$7:$I$1048576)</f>
        <v>0</v>
      </c>
      <c r="R219" s="195">
        <f>tProjectsMaster212[[#This Row],[Actual cost (admin)]]/tProjectsMaster212[[#This Row],[Costbased]]</f>
        <v>0</v>
      </c>
      <c r="S219" s="191"/>
      <c r="T219" s="192"/>
      <c r="U219" s="240"/>
      <c r="V219" s="78"/>
    </row>
    <row r="220" spans="1:22" ht="15" hidden="1">
      <c r="A220" s="182" t="s">
        <v>770</v>
      </c>
      <c r="B220" s="55">
        <f>YEAR(tProjectsMaster212[[#This Row],[End Date]])</f>
        <v>2027</v>
      </c>
      <c r="C220" s="55" t="str">
        <f t="shared" ca="1" si="8"/>
        <v>FUTURE</v>
      </c>
      <c r="D220" s="216"/>
      <c r="E220" s="55" t="s">
        <v>644</v>
      </c>
      <c r="F220" s="83" t="s">
        <v>1028</v>
      </c>
      <c r="G220" s="78" t="s">
        <v>771</v>
      </c>
      <c r="H220" s="198" t="s">
        <v>1316</v>
      </c>
      <c r="I220" s="185" t="s">
        <v>1155</v>
      </c>
      <c r="J220" s="478" t="s">
        <v>1209</v>
      </c>
      <c r="K220" s="188">
        <v>46007</v>
      </c>
      <c r="L220" s="188">
        <v>46388</v>
      </c>
      <c r="M220" s="188">
        <v>46752</v>
      </c>
      <c r="N220" s="193">
        <f>12963210*12</f>
        <v>155558520</v>
      </c>
      <c r="O220" s="200">
        <f>379043280/3</f>
        <v>126347760</v>
      </c>
      <c r="P220" s="200"/>
      <c r="Q220" s="190">
        <f>SUMIF('REALISASI 2026'!$C$7:$C$1048576,tProjectsMaster212[[#This Row],[Project_ID]],'REALISASI 2026'!$I$7:$I$1048576)</f>
        <v>0</v>
      </c>
      <c r="R220" s="195">
        <f>tProjectsMaster212[[#This Row],[Actual cost (admin)]]/tProjectsMaster212[[#This Row],[Costbased]]</f>
        <v>0</v>
      </c>
      <c r="S220" s="191"/>
      <c r="T220" s="192"/>
      <c r="U220" s="240"/>
      <c r="V220" s="78"/>
    </row>
    <row r="221" spans="1:22" ht="15" hidden="1">
      <c r="A221" s="182" t="s">
        <v>770</v>
      </c>
      <c r="B221" s="55">
        <f>YEAR(tProjectsMaster212[[#This Row],[End Date]])</f>
        <v>2028</v>
      </c>
      <c r="C221" s="55" t="str">
        <f t="shared" ca="1" si="8"/>
        <v>FUTURE</v>
      </c>
      <c r="D221" s="216"/>
      <c r="E221" s="55" t="s">
        <v>644</v>
      </c>
      <c r="F221" s="83" t="s">
        <v>1028</v>
      </c>
      <c r="G221" s="78" t="s">
        <v>771</v>
      </c>
      <c r="H221" s="198" t="s">
        <v>1316</v>
      </c>
      <c r="I221" s="185" t="s">
        <v>1155</v>
      </c>
      <c r="J221" s="478" t="s">
        <v>1209</v>
      </c>
      <c r="K221" s="188">
        <v>46007</v>
      </c>
      <c r="L221" s="188">
        <v>46753</v>
      </c>
      <c r="M221" s="188">
        <v>47103</v>
      </c>
      <c r="N221" s="193">
        <f>12963210*12</f>
        <v>155558520</v>
      </c>
      <c r="O221" s="200">
        <f>379043280/3</f>
        <v>126347760</v>
      </c>
      <c r="P221" s="200"/>
      <c r="Q221" s="190">
        <f>SUMIF('REALISASI 2026'!$C$7:$C$1048576,tProjectsMaster212[[#This Row],[Project_ID]],'REALISASI 2026'!$I$7:$I$1048576)</f>
        <v>0</v>
      </c>
      <c r="R221" s="195">
        <f>tProjectsMaster212[[#This Row],[Actual cost (admin)]]/tProjectsMaster212[[#This Row],[Costbased]]</f>
        <v>0</v>
      </c>
      <c r="S221" s="191"/>
      <c r="T221" s="192"/>
      <c r="U221" s="240"/>
      <c r="V221" s="78"/>
    </row>
    <row r="222" spans="1:22" ht="15" hidden="1">
      <c r="A222" s="182" t="s">
        <v>772</v>
      </c>
      <c r="B222" s="55">
        <f>YEAR(tProjectsMaster212[[#This Row],[End Date]])</f>
        <v>2026</v>
      </c>
      <c r="C222" s="55" t="str">
        <f t="shared" ca="1" si="8"/>
        <v>ON GOING</v>
      </c>
      <c r="D222" s="216"/>
      <c r="E222" s="55" t="s">
        <v>644</v>
      </c>
      <c r="F222" s="83" t="s">
        <v>1028</v>
      </c>
      <c r="G222" s="78" t="s">
        <v>773</v>
      </c>
      <c r="H222" s="239" t="s">
        <v>842</v>
      </c>
      <c r="I222" s="185" t="s">
        <v>1155</v>
      </c>
      <c r="J222" s="478" t="s">
        <v>1209</v>
      </c>
      <c r="K222" s="188">
        <v>46007</v>
      </c>
      <c r="L222" s="188">
        <v>46023</v>
      </c>
      <c r="M222" s="188">
        <v>46387</v>
      </c>
      <c r="N222" s="189">
        <f>2612740*12</f>
        <v>31352880</v>
      </c>
      <c r="O222" s="200">
        <f>76396320/3</f>
        <v>25465440</v>
      </c>
      <c r="P222" s="200"/>
      <c r="Q222" s="190">
        <f>SUMIF('REALISASI 2026'!$C$7:$C$1048576,tProjectsMaster212[[#This Row],[Project_ID]],'REALISASI 2026'!$I$7:$I$1048576)</f>
        <v>0</v>
      </c>
      <c r="R222" s="195">
        <f>tProjectsMaster212[[#This Row],[Actual cost (admin)]]/tProjectsMaster212[[#This Row],[Costbased]]</f>
        <v>0</v>
      </c>
      <c r="S222" s="191"/>
      <c r="T222" s="192"/>
      <c r="U222" s="240"/>
      <c r="V222" s="78"/>
    </row>
    <row r="223" spans="1:22" ht="15" hidden="1">
      <c r="A223" s="182" t="s">
        <v>772</v>
      </c>
      <c r="B223" s="55">
        <f>YEAR(tProjectsMaster212[[#This Row],[End Date]])</f>
        <v>2027</v>
      </c>
      <c r="C223" s="55" t="str">
        <f t="shared" ca="1" si="8"/>
        <v>FUTURE</v>
      </c>
      <c r="D223" s="216"/>
      <c r="E223" s="55" t="s">
        <v>644</v>
      </c>
      <c r="F223" s="83" t="s">
        <v>1028</v>
      </c>
      <c r="G223" s="78" t="s">
        <v>773</v>
      </c>
      <c r="H223" s="239" t="s">
        <v>842</v>
      </c>
      <c r="I223" s="185" t="s">
        <v>1155</v>
      </c>
      <c r="J223" s="478" t="s">
        <v>1209</v>
      </c>
      <c r="K223" s="188">
        <v>46007</v>
      </c>
      <c r="L223" s="188">
        <v>46388</v>
      </c>
      <c r="M223" s="188">
        <v>46752</v>
      </c>
      <c r="N223" s="189">
        <f>2612740*12</f>
        <v>31352880</v>
      </c>
      <c r="O223" s="200">
        <f>76396320/3</f>
        <v>25465440</v>
      </c>
      <c r="P223" s="200"/>
      <c r="Q223" s="190">
        <f>SUMIF('REALISASI 2026'!$C$7:$C$1048576,tProjectsMaster212[[#This Row],[Project_ID]],'REALISASI 2026'!$I$7:$I$1048576)</f>
        <v>0</v>
      </c>
      <c r="R223" s="195">
        <f>tProjectsMaster212[[#This Row],[Actual cost (admin)]]/tProjectsMaster212[[#This Row],[Costbased]]</f>
        <v>0</v>
      </c>
      <c r="S223" s="191"/>
      <c r="T223" s="192"/>
      <c r="U223" s="240"/>
      <c r="V223" s="78"/>
    </row>
    <row r="224" spans="1:22" ht="15" hidden="1">
      <c r="A224" s="182" t="s">
        <v>772</v>
      </c>
      <c r="B224" s="55">
        <f>YEAR(tProjectsMaster212[[#This Row],[End Date]])</f>
        <v>2028</v>
      </c>
      <c r="C224" s="55" t="str">
        <f t="shared" ca="1" si="8"/>
        <v>FUTURE</v>
      </c>
      <c r="D224" s="216"/>
      <c r="E224" s="55" t="s">
        <v>644</v>
      </c>
      <c r="F224" s="83" t="s">
        <v>1028</v>
      </c>
      <c r="G224" s="78" t="s">
        <v>773</v>
      </c>
      <c r="H224" s="239" t="s">
        <v>842</v>
      </c>
      <c r="I224" s="185" t="s">
        <v>1155</v>
      </c>
      <c r="J224" s="478" t="s">
        <v>1209</v>
      </c>
      <c r="K224" s="188">
        <v>46007</v>
      </c>
      <c r="L224" s="188">
        <v>46753</v>
      </c>
      <c r="M224" s="188">
        <v>47103</v>
      </c>
      <c r="N224" s="189">
        <f>2612740*12</f>
        <v>31352880</v>
      </c>
      <c r="O224" s="200">
        <f>76396320/3</f>
        <v>25465440</v>
      </c>
      <c r="P224" s="200"/>
      <c r="Q224" s="190">
        <f>SUMIF('REALISASI 2026'!$C$7:$C$1048576,tProjectsMaster212[[#This Row],[Project_ID]],'REALISASI 2026'!$I$7:$I$1048576)</f>
        <v>0</v>
      </c>
      <c r="R224" s="195">
        <f>tProjectsMaster212[[#This Row],[Actual cost (admin)]]/tProjectsMaster212[[#This Row],[Costbased]]</f>
        <v>0</v>
      </c>
      <c r="S224" s="191"/>
      <c r="T224" s="192"/>
      <c r="U224" s="240"/>
      <c r="V224" s="78"/>
    </row>
    <row r="225" spans="1:22" ht="15" hidden="1">
      <c r="A225" s="182" t="s">
        <v>774</v>
      </c>
      <c r="B225" s="55">
        <f>YEAR(tProjectsMaster212[[#This Row],[End Date]])</f>
        <v>2026</v>
      </c>
      <c r="C225" s="55" t="str">
        <f t="shared" ca="1" si="8"/>
        <v>ON GOING</v>
      </c>
      <c r="D225" s="216"/>
      <c r="E225" s="55" t="s">
        <v>644</v>
      </c>
      <c r="F225" s="83" t="s">
        <v>1028</v>
      </c>
      <c r="G225" s="78" t="s">
        <v>775</v>
      </c>
      <c r="H225" s="239" t="s">
        <v>842</v>
      </c>
      <c r="I225" s="185" t="s">
        <v>1155</v>
      </c>
      <c r="J225" s="478" t="s">
        <v>1209</v>
      </c>
      <c r="K225" s="188">
        <v>46007</v>
      </c>
      <c r="L225" s="188">
        <v>46023</v>
      </c>
      <c r="M225" s="188">
        <v>46387</v>
      </c>
      <c r="N225" s="189">
        <f>1105390*12</f>
        <v>13264680</v>
      </c>
      <c r="O225" s="52">
        <f>32321520/3</f>
        <v>10773840</v>
      </c>
      <c r="P225" s="200"/>
      <c r="Q225" s="190">
        <f>SUMIF('REALISASI 2026'!$C$7:$C$1048576,tProjectsMaster212[[#This Row],[Project_ID]],'REALISASI 2026'!$I$7:$I$1048576)</f>
        <v>0</v>
      </c>
      <c r="R225" s="195">
        <f>tProjectsMaster212[[#This Row],[Actual cost (admin)]]/tProjectsMaster212[[#This Row],[Costbased]]</f>
        <v>0</v>
      </c>
      <c r="S225" s="191"/>
      <c r="T225" s="192"/>
      <c r="U225" s="240"/>
      <c r="V225" s="78"/>
    </row>
    <row r="226" spans="1:22" ht="15" hidden="1">
      <c r="A226" s="182" t="s">
        <v>774</v>
      </c>
      <c r="B226" s="55">
        <f>YEAR(tProjectsMaster212[[#This Row],[End Date]])</f>
        <v>2027</v>
      </c>
      <c r="C226" s="55" t="str">
        <f t="shared" ca="1" si="8"/>
        <v>FUTURE</v>
      </c>
      <c r="D226" s="216"/>
      <c r="E226" s="55" t="s">
        <v>644</v>
      </c>
      <c r="F226" s="83" t="s">
        <v>1028</v>
      </c>
      <c r="G226" s="78" t="s">
        <v>775</v>
      </c>
      <c r="H226" s="239" t="s">
        <v>842</v>
      </c>
      <c r="I226" s="185" t="s">
        <v>1155</v>
      </c>
      <c r="J226" s="478" t="s">
        <v>1209</v>
      </c>
      <c r="K226" s="188">
        <v>46007</v>
      </c>
      <c r="L226" s="188">
        <v>46388</v>
      </c>
      <c r="M226" s="188">
        <v>46752</v>
      </c>
      <c r="N226" s="189">
        <f>1105390*12</f>
        <v>13264680</v>
      </c>
      <c r="O226" s="52">
        <f>32321520/3</f>
        <v>10773840</v>
      </c>
      <c r="P226" s="200"/>
      <c r="Q226" s="190">
        <f>SUMIF('REALISASI 2026'!$C$7:$C$1048576,tProjectsMaster212[[#This Row],[Project_ID]],'REALISASI 2026'!$I$7:$I$1048576)</f>
        <v>0</v>
      </c>
      <c r="R226" s="195">
        <f>tProjectsMaster212[[#This Row],[Actual cost (admin)]]/tProjectsMaster212[[#This Row],[Costbased]]</f>
        <v>0</v>
      </c>
      <c r="S226" s="191"/>
      <c r="T226" s="192"/>
      <c r="U226" s="240"/>
      <c r="V226" s="78"/>
    </row>
    <row r="227" spans="1:22" ht="15" hidden="1">
      <c r="A227" s="182" t="s">
        <v>774</v>
      </c>
      <c r="B227" s="55">
        <f>YEAR(tProjectsMaster212[[#This Row],[End Date]])</f>
        <v>2028</v>
      </c>
      <c r="C227" s="55" t="str">
        <f t="shared" ca="1" si="8"/>
        <v>FUTURE</v>
      </c>
      <c r="D227" s="216"/>
      <c r="E227" s="55" t="s">
        <v>644</v>
      </c>
      <c r="F227" s="83" t="s">
        <v>1028</v>
      </c>
      <c r="G227" s="78" t="s">
        <v>775</v>
      </c>
      <c r="H227" s="239" t="s">
        <v>842</v>
      </c>
      <c r="I227" s="185" t="s">
        <v>1155</v>
      </c>
      <c r="J227" s="478" t="s">
        <v>1209</v>
      </c>
      <c r="K227" s="188">
        <v>46007</v>
      </c>
      <c r="L227" s="188">
        <v>46753</v>
      </c>
      <c r="M227" s="188">
        <v>47103</v>
      </c>
      <c r="N227" s="189">
        <f>1105390*12</f>
        <v>13264680</v>
      </c>
      <c r="O227" s="52">
        <f>32321520/3</f>
        <v>10773840</v>
      </c>
      <c r="P227" s="200"/>
      <c r="Q227" s="190">
        <f>SUMIF('REALISASI 2026'!$C$7:$C$1048576,tProjectsMaster212[[#This Row],[Project_ID]],'REALISASI 2026'!$I$7:$I$1048576)</f>
        <v>0</v>
      </c>
      <c r="R227" s="195">
        <f>tProjectsMaster212[[#This Row],[Actual cost (admin)]]/tProjectsMaster212[[#This Row],[Costbased]]</f>
        <v>0</v>
      </c>
      <c r="S227" s="191"/>
      <c r="T227" s="192"/>
      <c r="U227" s="240"/>
      <c r="V227" s="78"/>
    </row>
    <row r="228" spans="1:22" ht="15" hidden="1">
      <c r="A228" s="182" t="s">
        <v>776</v>
      </c>
      <c r="B228" s="55">
        <f>YEAR(tProjectsMaster212[[#This Row],[End Date]])</f>
        <v>2026</v>
      </c>
      <c r="C228" s="55" t="str">
        <f t="shared" ca="1" si="8"/>
        <v>ON GOING</v>
      </c>
      <c r="D228" s="216"/>
      <c r="E228" s="55" t="s">
        <v>644</v>
      </c>
      <c r="F228" s="83" t="s">
        <v>1028</v>
      </c>
      <c r="G228" s="78" t="s">
        <v>777</v>
      </c>
      <c r="H228" s="239" t="s">
        <v>842</v>
      </c>
      <c r="I228" s="185" t="s">
        <v>1155</v>
      </c>
      <c r="J228" s="478" t="s">
        <v>1209</v>
      </c>
      <c r="K228" s="188">
        <v>46007</v>
      </c>
      <c r="L228" s="188">
        <v>46023</v>
      </c>
      <c r="M228" s="188">
        <v>46387</v>
      </c>
      <c r="N228" s="189">
        <f>4019600*12</f>
        <v>48235200</v>
      </c>
      <c r="O228" s="52">
        <f>117532800/3</f>
        <v>39177600</v>
      </c>
      <c r="P228" s="200"/>
      <c r="Q228" s="190">
        <f>SUMIF('REALISASI 2026'!$C$7:$C$1048576,tProjectsMaster212[[#This Row],[Project_ID]],'REALISASI 2026'!$I$7:$I$1048576)</f>
        <v>0</v>
      </c>
      <c r="R228" s="195">
        <f>tProjectsMaster212[[#This Row],[Actual cost (admin)]]/tProjectsMaster212[[#This Row],[Costbased]]</f>
        <v>0</v>
      </c>
      <c r="S228" s="191"/>
      <c r="T228" s="192"/>
      <c r="U228" s="240"/>
      <c r="V228" s="78"/>
    </row>
    <row r="229" spans="1:22" ht="15" hidden="1">
      <c r="A229" s="182" t="s">
        <v>776</v>
      </c>
      <c r="B229" s="55">
        <f>YEAR(tProjectsMaster212[[#This Row],[End Date]])</f>
        <v>2027</v>
      </c>
      <c r="C229" s="55" t="str">
        <f t="shared" ca="1" si="8"/>
        <v>FUTURE</v>
      </c>
      <c r="D229" s="216"/>
      <c r="E229" s="55" t="s">
        <v>644</v>
      </c>
      <c r="F229" s="83" t="s">
        <v>1028</v>
      </c>
      <c r="G229" s="78" t="s">
        <v>777</v>
      </c>
      <c r="H229" s="239" t="s">
        <v>842</v>
      </c>
      <c r="I229" s="185" t="s">
        <v>1155</v>
      </c>
      <c r="J229" s="478" t="s">
        <v>1209</v>
      </c>
      <c r="K229" s="188">
        <v>46007</v>
      </c>
      <c r="L229" s="188">
        <v>46388</v>
      </c>
      <c r="M229" s="188">
        <v>46752</v>
      </c>
      <c r="N229" s="189">
        <f>4019600*12</f>
        <v>48235200</v>
      </c>
      <c r="O229" s="52">
        <f>117532800/3</f>
        <v>39177600</v>
      </c>
      <c r="P229" s="200"/>
      <c r="Q229" s="190">
        <f>SUMIF('REALISASI 2026'!$C$7:$C$1048576,tProjectsMaster212[[#This Row],[Project_ID]],'REALISASI 2026'!$I$7:$I$1048576)</f>
        <v>0</v>
      </c>
      <c r="R229" s="195">
        <f>tProjectsMaster212[[#This Row],[Actual cost (admin)]]/tProjectsMaster212[[#This Row],[Costbased]]</f>
        <v>0</v>
      </c>
      <c r="S229" s="191"/>
      <c r="T229" s="192"/>
      <c r="U229" s="240"/>
      <c r="V229" s="78"/>
    </row>
    <row r="230" spans="1:22" ht="15" hidden="1">
      <c r="A230" s="182" t="s">
        <v>776</v>
      </c>
      <c r="B230" s="55">
        <f>YEAR(tProjectsMaster212[[#This Row],[End Date]])</f>
        <v>2028</v>
      </c>
      <c r="C230" s="55" t="str">
        <f t="shared" ca="1" si="8"/>
        <v>FUTURE</v>
      </c>
      <c r="D230" s="216"/>
      <c r="E230" s="55" t="s">
        <v>644</v>
      </c>
      <c r="F230" s="83" t="s">
        <v>1028</v>
      </c>
      <c r="G230" s="78" t="s">
        <v>777</v>
      </c>
      <c r="H230" s="239" t="s">
        <v>842</v>
      </c>
      <c r="I230" s="185" t="s">
        <v>1155</v>
      </c>
      <c r="J230" s="478" t="s">
        <v>1209</v>
      </c>
      <c r="K230" s="188">
        <v>46007</v>
      </c>
      <c r="L230" s="188">
        <v>46753</v>
      </c>
      <c r="M230" s="188">
        <v>47103</v>
      </c>
      <c r="N230" s="189">
        <f>4019600*12</f>
        <v>48235200</v>
      </c>
      <c r="O230" s="52">
        <f>117532800/3</f>
        <v>39177600</v>
      </c>
      <c r="P230" s="200"/>
      <c r="Q230" s="190">
        <f>SUMIF('REALISASI 2026'!$C$7:$C$1048576,tProjectsMaster212[[#This Row],[Project_ID]],'REALISASI 2026'!$I$7:$I$1048576)</f>
        <v>0</v>
      </c>
      <c r="R230" s="195">
        <f>tProjectsMaster212[[#This Row],[Actual cost (admin)]]/tProjectsMaster212[[#This Row],[Costbased]]</f>
        <v>0</v>
      </c>
      <c r="S230" s="191"/>
      <c r="T230" s="192"/>
      <c r="U230" s="240"/>
      <c r="V230" s="78"/>
    </row>
    <row r="231" spans="1:22" ht="15" hidden="1">
      <c r="A231" s="182" t="s">
        <v>778</v>
      </c>
      <c r="B231" s="55">
        <f>YEAR(tProjectsMaster212[[#This Row],[End Date]])</f>
        <v>2026</v>
      </c>
      <c r="C231" s="55" t="str">
        <f t="shared" ca="1" si="8"/>
        <v>ON GOING</v>
      </c>
      <c r="D231" s="216"/>
      <c r="E231" s="55" t="s">
        <v>644</v>
      </c>
      <c r="F231" s="83" t="s">
        <v>1028</v>
      </c>
      <c r="G231" s="78" t="s">
        <v>779</v>
      </c>
      <c r="H231" s="198" t="s">
        <v>1233</v>
      </c>
      <c r="I231" s="185" t="s">
        <v>1155</v>
      </c>
      <c r="J231" s="478" t="s">
        <v>1209</v>
      </c>
      <c r="K231" s="188">
        <v>46007</v>
      </c>
      <c r="L231" s="188">
        <v>46023</v>
      </c>
      <c r="M231" s="188">
        <v>46387</v>
      </c>
      <c r="N231" s="515">
        <f>1105390*12</f>
        <v>13264680</v>
      </c>
      <c r="O231" s="52">
        <f>32321520/3</f>
        <v>10773840</v>
      </c>
      <c r="P231" s="200"/>
      <c r="Q231" s="190">
        <f>SUMIF('REALISASI 2026'!$C$7:$C$1048576,tProjectsMaster212[[#This Row],[Project_ID]],'REALISASI 2026'!$I$7:$I$1048576)</f>
        <v>0</v>
      </c>
      <c r="R231" s="195">
        <f>tProjectsMaster212[[#This Row],[Actual cost (admin)]]/tProjectsMaster212[[#This Row],[Costbased]]</f>
        <v>0</v>
      </c>
      <c r="S231" s="191"/>
      <c r="T231" s="192"/>
      <c r="U231" s="240"/>
      <c r="V231" s="78"/>
    </row>
    <row r="232" spans="1:22" ht="15" hidden="1">
      <c r="A232" s="182" t="s">
        <v>778</v>
      </c>
      <c r="B232" s="55">
        <f>YEAR(tProjectsMaster212[[#This Row],[End Date]])</f>
        <v>2027</v>
      </c>
      <c r="C232" s="55" t="str">
        <f t="shared" ca="1" si="8"/>
        <v>FUTURE</v>
      </c>
      <c r="D232" s="216"/>
      <c r="E232" s="55" t="s">
        <v>644</v>
      </c>
      <c r="F232" s="83" t="s">
        <v>1028</v>
      </c>
      <c r="G232" s="78" t="s">
        <v>779</v>
      </c>
      <c r="H232" s="198" t="s">
        <v>1233</v>
      </c>
      <c r="I232" s="185" t="s">
        <v>1155</v>
      </c>
      <c r="J232" s="478" t="s">
        <v>1209</v>
      </c>
      <c r="K232" s="188">
        <v>46007</v>
      </c>
      <c r="L232" s="188">
        <v>46388</v>
      </c>
      <c r="M232" s="188">
        <v>46752</v>
      </c>
      <c r="N232" s="515">
        <f>1105390*12</f>
        <v>13264680</v>
      </c>
      <c r="O232" s="52">
        <f>32321520/3</f>
        <v>10773840</v>
      </c>
      <c r="P232" s="200"/>
      <c r="Q232" s="190">
        <f>SUMIF('REALISASI 2026'!$C$7:$C$1048576,tProjectsMaster212[[#This Row],[Project_ID]],'REALISASI 2026'!$I$7:$I$1048576)</f>
        <v>0</v>
      </c>
      <c r="R232" s="195">
        <f>tProjectsMaster212[[#This Row],[Actual cost (admin)]]/tProjectsMaster212[[#This Row],[Costbased]]</f>
        <v>0</v>
      </c>
      <c r="S232" s="191"/>
      <c r="T232" s="192"/>
      <c r="U232" s="240"/>
      <c r="V232" s="78"/>
    </row>
    <row r="233" spans="1:22" ht="15" hidden="1">
      <c r="A233" s="182" t="s">
        <v>778</v>
      </c>
      <c r="B233" s="55">
        <f>YEAR(tProjectsMaster212[[#This Row],[End Date]])</f>
        <v>2028</v>
      </c>
      <c r="C233" s="55" t="str">
        <f t="shared" ca="1" si="8"/>
        <v>FUTURE</v>
      </c>
      <c r="D233" s="216"/>
      <c r="E233" s="55" t="s">
        <v>644</v>
      </c>
      <c r="F233" s="83" t="s">
        <v>1028</v>
      </c>
      <c r="G233" s="78" t="s">
        <v>779</v>
      </c>
      <c r="H233" s="198" t="s">
        <v>1233</v>
      </c>
      <c r="I233" s="185" t="s">
        <v>1155</v>
      </c>
      <c r="J233" s="478" t="s">
        <v>1209</v>
      </c>
      <c r="K233" s="188">
        <v>46007</v>
      </c>
      <c r="L233" s="188">
        <v>46753</v>
      </c>
      <c r="M233" s="188">
        <v>47103</v>
      </c>
      <c r="N233" s="515">
        <f>1105390*12</f>
        <v>13264680</v>
      </c>
      <c r="O233" s="52">
        <f>32321520/3</f>
        <v>10773840</v>
      </c>
      <c r="P233" s="200"/>
      <c r="Q233" s="190">
        <f>SUMIF('REALISASI 2026'!$C$7:$C$1048576,tProjectsMaster212[[#This Row],[Project_ID]],'REALISASI 2026'!$I$7:$I$1048576)</f>
        <v>0</v>
      </c>
      <c r="R233" s="195">
        <f>tProjectsMaster212[[#This Row],[Actual cost (admin)]]/tProjectsMaster212[[#This Row],[Costbased]]</f>
        <v>0</v>
      </c>
      <c r="S233" s="191"/>
      <c r="T233" s="192"/>
      <c r="U233" s="240"/>
      <c r="V233" s="78"/>
    </row>
    <row r="234" spans="1:22" ht="15" hidden="1">
      <c r="A234" s="182" t="s">
        <v>780</v>
      </c>
      <c r="B234" s="55">
        <f>YEAR(tProjectsMaster212[[#This Row],[End Date]])</f>
        <v>2025</v>
      </c>
      <c r="C234" s="55" t="str">
        <f t="shared" ca="1" si="8"/>
        <v>CLOSED</v>
      </c>
      <c r="D234" s="216"/>
      <c r="E234" s="55" t="s">
        <v>510</v>
      </c>
      <c r="F234" s="83" t="s">
        <v>860</v>
      </c>
      <c r="G234" s="78" t="s">
        <v>781</v>
      </c>
      <c r="H234" s="198">
        <v>3950458013</v>
      </c>
      <c r="I234" s="185" t="s">
        <v>1155</v>
      </c>
      <c r="J234" s="478" t="s">
        <v>1209</v>
      </c>
      <c r="K234" s="188">
        <v>45967</v>
      </c>
      <c r="L234" s="188">
        <v>45967</v>
      </c>
      <c r="M234" s="188">
        <v>46022</v>
      </c>
      <c r="N234" s="515">
        <f>(11480000000*(2/41))+(9465050000*(2/41))</f>
        <v>1021709756.097561</v>
      </c>
      <c r="O234" s="515">
        <f>(5540900018*(2/41))+(9466513914.8*(2/41))</f>
        <v>732068972.33170724</v>
      </c>
      <c r="P234" s="200"/>
      <c r="Q234" s="190">
        <f>SUMIF('REALISASI 2026'!$C$7:$C$1048576,tProjectsMaster212[[#This Row],[Project_ID]],'REALISASI 2026'!$I$7:$I$1048576)</f>
        <v>0</v>
      </c>
      <c r="R234" s="195">
        <f>tProjectsMaster212[[#This Row],[Actual cost (admin)]]/tProjectsMaster212[[#This Row],[Costbased]]</f>
        <v>0</v>
      </c>
      <c r="S234" s="191"/>
      <c r="T234" s="192"/>
      <c r="U234" s="240"/>
      <c r="V234" s="78"/>
    </row>
    <row r="235" spans="1:22" ht="15">
      <c r="A235" s="182" t="s">
        <v>780</v>
      </c>
      <c r="B235" s="55">
        <f>YEAR(tProjectsMaster212[[#This Row],[End Date]])</f>
        <v>2026</v>
      </c>
      <c r="C235" s="55" t="str">
        <f t="shared" ca="1" si="8"/>
        <v>ON GOING</v>
      </c>
      <c r="D235" s="216"/>
      <c r="E235" s="55" t="s">
        <v>510</v>
      </c>
      <c r="F235" s="83" t="s">
        <v>860</v>
      </c>
      <c r="G235" s="78" t="s">
        <v>781</v>
      </c>
      <c r="H235" s="198">
        <v>3950458013</v>
      </c>
      <c r="I235" s="185" t="s">
        <v>1155</v>
      </c>
      <c r="J235" s="478" t="s">
        <v>1209</v>
      </c>
      <c r="K235" s="188">
        <v>45967</v>
      </c>
      <c r="L235" s="188">
        <v>46023</v>
      </c>
      <c r="M235" s="188">
        <v>46387</v>
      </c>
      <c r="N235" s="515">
        <f>(11480000000*(12/41))+(9465050000*(12/41))</f>
        <v>6130258536.5853653</v>
      </c>
      <c r="O235" s="515">
        <f>(5540900018*(12/41))+(9466513914.8*(12/41))</f>
        <v>4392413833.9902439</v>
      </c>
      <c r="P235" s="200"/>
      <c r="Q235" s="190">
        <f>SUMIF('REALISASI 2026'!$C$7:$C$1048576,tProjectsMaster212[[#This Row],[Project_ID]],'REALISASI 2026'!$I$7:$I$1048576)</f>
        <v>0</v>
      </c>
      <c r="R235" s="195">
        <f>tProjectsMaster212[[#This Row],[Actual cost (admin)]]/tProjectsMaster212[[#This Row],[Costbased]]</f>
        <v>0</v>
      </c>
      <c r="S235" s="191"/>
      <c r="T235" s="192">
        <v>1E-4</v>
      </c>
      <c r="U235" s="240"/>
      <c r="V235" s="78"/>
    </row>
    <row r="236" spans="1:22" ht="15" hidden="1">
      <c r="A236" s="182" t="s">
        <v>780</v>
      </c>
      <c r="B236" s="55">
        <f>YEAR(tProjectsMaster212[[#This Row],[End Date]])</f>
        <v>2027</v>
      </c>
      <c r="C236" s="55" t="str">
        <f t="shared" ca="1" si="8"/>
        <v>FUTURE</v>
      </c>
      <c r="D236" s="216"/>
      <c r="E236" s="55" t="s">
        <v>510</v>
      </c>
      <c r="F236" s="83" t="s">
        <v>860</v>
      </c>
      <c r="G236" s="78" t="s">
        <v>781</v>
      </c>
      <c r="H236" s="198">
        <v>3950458013</v>
      </c>
      <c r="I236" s="185" t="s">
        <v>1155</v>
      </c>
      <c r="J236" s="478" t="s">
        <v>1209</v>
      </c>
      <c r="K236" s="188">
        <v>45967</v>
      </c>
      <c r="L236" s="188">
        <v>46388</v>
      </c>
      <c r="M236" s="188">
        <v>46752</v>
      </c>
      <c r="N236" s="515">
        <f>(11480000000*(12/41))+(9465050000*(12/41))</f>
        <v>6130258536.5853653</v>
      </c>
      <c r="O236" s="515">
        <f>(5540900018*(12/41))+(9466513914.8*(12/41))</f>
        <v>4392413833.9902439</v>
      </c>
      <c r="P236" s="200"/>
      <c r="Q236" s="190">
        <f>SUMIF('REALISASI 2026'!$C$7:$C$1048576,tProjectsMaster212[[#This Row],[Project_ID]],'REALISASI 2026'!$I$7:$I$1048576)</f>
        <v>0</v>
      </c>
      <c r="R236" s="195">
        <f>tProjectsMaster212[[#This Row],[Actual cost (admin)]]/tProjectsMaster212[[#This Row],[Costbased]]</f>
        <v>0</v>
      </c>
      <c r="S236" s="191"/>
      <c r="T236" s="192"/>
      <c r="U236" s="240"/>
      <c r="V236" s="78"/>
    </row>
    <row r="237" spans="1:22" ht="15" hidden="1">
      <c r="A237" s="182" t="s">
        <v>780</v>
      </c>
      <c r="B237" s="55">
        <f>YEAR(tProjectsMaster212[[#This Row],[End Date]])</f>
        <v>2028</v>
      </c>
      <c r="C237" s="55" t="str">
        <f t="shared" ca="1" si="8"/>
        <v>FUTURE</v>
      </c>
      <c r="D237" s="216"/>
      <c r="E237" s="55" t="s">
        <v>510</v>
      </c>
      <c r="F237" s="83" t="s">
        <v>860</v>
      </c>
      <c r="G237" s="78" t="s">
        <v>781</v>
      </c>
      <c r="H237" s="198">
        <v>3950458013</v>
      </c>
      <c r="I237" s="185" t="s">
        <v>1155</v>
      </c>
      <c r="J237" s="478" t="s">
        <v>1209</v>
      </c>
      <c r="K237" s="188">
        <v>45967</v>
      </c>
      <c r="L237" s="188">
        <v>46753</v>
      </c>
      <c r="M237" s="188">
        <v>47118</v>
      </c>
      <c r="N237" s="515">
        <f>(11480000000*(12/41))+(9465050000*(12/41))</f>
        <v>6130258536.5853653</v>
      </c>
      <c r="O237" s="515">
        <f>(5540900018*(12/41))+(9466513914.8*(12/41))</f>
        <v>4392413833.9902439</v>
      </c>
      <c r="P237" s="200"/>
      <c r="Q237" s="190">
        <f>SUMIF('REALISASI 2026'!$C$7:$C$1048576,tProjectsMaster212[[#This Row],[Project_ID]],'REALISASI 2026'!$I$7:$I$1048576)</f>
        <v>0</v>
      </c>
      <c r="R237" s="195">
        <f>tProjectsMaster212[[#This Row],[Actual cost (admin)]]/tProjectsMaster212[[#This Row],[Costbased]]</f>
        <v>0</v>
      </c>
      <c r="S237" s="191"/>
      <c r="T237" s="192"/>
      <c r="U237" s="240"/>
      <c r="V237" s="78"/>
    </row>
    <row r="238" spans="1:22" ht="15" hidden="1">
      <c r="A238" s="182" t="s">
        <v>780</v>
      </c>
      <c r="B238" s="55">
        <f>YEAR(tProjectsMaster212[[#This Row],[End Date]])</f>
        <v>2029</v>
      </c>
      <c r="C238" s="55" t="str">
        <f t="shared" ca="1" si="8"/>
        <v>FUTURE</v>
      </c>
      <c r="D238" s="216"/>
      <c r="E238" s="55" t="s">
        <v>510</v>
      </c>
      <c r="F238" s="83" t="s">
        <v>860</v>
      </c>
      <c r="G238" s="78" t="s">
        <v>781</v>
      </c>
      <c r="H238" s="198">
        <v>3950458013</v>
      </c>
      <c r="I238" s="185" t="s">
        <v>1155</v>
      </c>
      <c r="J238" s="478" t="s">
        <v>1209</v>
      </c>
      <c r="K238" s="188">
        <v>45967</v>
      </c>
      <c r="L238" s="188">
        <v>47119</v>
      </c>
      <c r="M238" s="188">
        <v>47155</v>
      </c>
      <c r="N238" s="515">
        <f>(11480000000*(3/41))+(9465050000*(3/41))</f>
        <v>1532564634.1463413</v>
      </c>
      <c r="O238" s="515">
        <f>(5540900018*(3/41))+(9466513914.8*(3/41))</f>
        <v>1098103458.497561</v>
      </c>
      <c r="P238" s="200"/>
      <c r="Q238" s="190">
        <f>SUMIF('REALISASI 2026'!$C$7:$C$1048576,tProjectsMaster212[[#This Row],[Project_ID]],'REALISASI 2026'!$I$7:$I$1048576)</f>
        <v>0</v>
      </c>
      <c r="R238" s="195">
        <f>tProjectsMaster212[[#This Row],[Actual cost (admin)]]/tProjectsMaster212[[#This Row],[Costbased]]</f>
        <v>0</v>
      </c>
      <c r="S238" s="191"/>
      <c r="T238" s="192"/>
      <c r="U238" s="240"/>
      <c r="V238" s="78"/>
    </row>
    <row r="239" spans="1:22" hidden="1">
      <c r="A239" s="55"/>
      <c r="B239" s="55"/>
      <c r="C239" s="55"/>
      <c r="D239" s="55"/>
      <c r="E239" s="55"/>
      <c r="F239" s="83"/>
      <c r="G239" s="78"/>
      <c r="H239" s="78"/>
      <c r="I239" s="78"/>
      <c r="J239" s="55"/>
      <c r="K239" s="188"/>
      <c r="L239" s="188"/>
      <c r="M239" s="188"/>
      <c r="N239" s="193"/>
      <c r="O239" s="193"/>
      <c r="P239" s="200"/>
      <c r="Q239" s="200"/>
      <c r="R239" s="207"/>
      <c r="S239" s="191"/>
      <c r="T239" s="192"/>
      <c r="U239" s="78"/>
      <c r="V239" s="78"/>
    </row>
    <row r="240" spans="1:22">
      <c r="C240" s="174"/>
      <c r="D240" s="175"/>
      <c r="G240" s="176"/>
      <c r="O240" s="177"/>
    </row>
    <row r="241" spans="2:3" ht="14.4" thickBot="1"/>
    <row r="242" spans="2:3" ht="14.4" thickBot="1">
      <c r="B242" s="521"/>
      <c r="C242" s="1" t="s">
        <v>1317</v>
      </c>
    </row>
    <row r="243" spans="2:3" s="152" customFormat="1"/>
    <row r="296" spans="8:8" ht="14.4">
      <c r="H296" s="261"/>
    </row>
    <row r="297" spans="8:8" ht="14.4">
      <c r="H297" s="261"/>
    </row>
    <row r="298" spans="8:8">
      <c r="H298"/>
    </row>
    <row r="299" spans="8:8" ht="14.4">
      <c r="H299" s="261"/>
    </row>
    <row r="300" spans="8:8" ht="14.4">
      <c r="H300" s="261"/>
    </row>
    <row r="301" spans="8:8" ht="14.4">
      <c r="H301" s="261"/>
    </row>
    <row r="302" spans="8:8" ht="14.4">
      <c r="H302" s="261"/>
    </row>
    <row r="303" spans="8:8" ht="14.4">
      <c r="H303" s="261"/>
    </row>
    <row r="304" spans="8:8" ht="14.4">
      <c r="H304" s="261"/>
    </row>
    <row r="305" spans="8:8" ht="14.4">
      <c r="H305" s="261"/>
    </row>
    <row r="306" spans="8:8" ht="14.4">
      <c r="H306" s="261"/>
    </row>
    <row r="307" spans="8:8" ht="14.4">
      <c r="H307" s="261"/>
    </row>
    <row r="308" spans="8:8" ht="14.4">
      <c r="H308" s="261"/>
    </row>
    <row r="309" spans="8:8">
      <c r="H309"/>
    </row>
    <row r="310" spans="8:8" ht="14.4">
      <c r="H310" s="261"/>
    </row>
    <row r="311" spans="8:8" ht="14.4">
      <c r="H311" s="261"/>
    </row>
    <row r="312" spans="8:8" ht="14.4">
      <c r="H312" s="261"/>
    </row>
    <row r="313" spans="8:8" ht="14.4">
      <c r="H313" s="261"/>
    </row>
    <row r="314" spans="8:8" ht="14.4">
      <c r="H314" s="261"/>
    </row>
    <row r="315" spans="8:8" ht="14.4">
      <c r="H315" s="261"/>
    </row>
    <row r="316" spans="8:8" ht="14.4">
      <c r="H316" s="261"/>
    </row>
    <row r="317" spans="8:8" ht="14.4">
      <c r="H317" s="261"/>
    </row>
    <row r="318" spans="8:8" ht="14.4">
      <c r="H318" s="261"/>
    </row>
    <row r="319" spans="8:8" ht="14.4">
      <c r="H319" s="261"/>
    </row>
    <row r="320" spans="8:8" ht="14.4">
      <c r="H320" s="261"/>
    </row>
    <row r="321" spans="8:8" ht="14.4">
      <c r="H321" s="261"/>
    </row>
    <row r="322" spans="8:8">
      <c r="H322"/>
    </row>
    <row r="323" spans="8:8" ht="14.4">
      <c r="H323" s="261"/>
    </row>
    <row r="324" spans="8:8">
      <c r="H324"/>
    </row>
    <row r="325" spans="8:8" ht="14.4">
      <c r="H325" s="261"/>
    </row>
    <row r="326" spans="8:8" ht="14.4">
      <c r="H326" s="261"/>
    </row>
    <row r="327" spans="8:8" ht="14.4">
      <c r="H327" s="261"/>
    </row>
    <row r="328" spans="8:8" ht="14.4">
      <c r="H328" s="261"/>
    </row>
    <row r="329" spans="8:8" ht="14.4">
      <c r="H329" s="261"/>
    </row>
    <row r="330" spans="8:8" ht="14.4">
      <c r="H330" s="261"/>
    </row>
    <row r="331" spans="8:8" ht="14.4">
      <c r="H331" s="261"/>
    </row>
    <row r="332" spans="8:8" ht="14.4">
      <c r="H332" s="261"/>
    </row>
  </sheetData>
  <sheetProtection algorithmName="SHA-512" hashValue="+WwYnoRDZh0aNnrrFvGXMqkqFFadc3+6c9B//ZUZjc/J1qsIUuW4kMCVZywdFzgIEKhfriA2JNsj9wcYmsopmw==" saltValue="i0BtXiTaMhmqVnpa6x3+ew==" spinCount="100000" sheet="1" autoFilter="0"/>
  <sortState ref="G254:G295">
    <sortCondition ref="G254:G295"/>
  </sortState>
  <mergeCells count="1">
    <mergeCell ref="A1:B1"/>
  </mergeCells>
  <phoneticPr fontId="6" type="noConversion"/>
  <conditionalFormatting sqref="A3:F6 H3:H6 P3:S7 K3:O11 A7:H9 P8:P11 Q8:S12 A10:B11 D10:H11 C10:C12 B12 E12:G12 O12:P12 A12:A13 H12:H16 L14:M18 P14:S18 A14:F28 K16:K18 H17:J17 H18:H28 K19:R19 Q20:R24 K20:O28 P25:R28 S26:S35 B29:H29 M29:R29 K29:K35 A29:A38 C30:F32 E30:H33 O30:O34 N30:N35 D30:D37 B33:F33 P33:P34 L33:M35 B34:H36 O35:R35 K36:O36 P36:S43 B37:G37 K37:N39 O37:O40 B38:H38 A39:G42 I40:N42 E43:G43 K43:N43 A43:D50 K44:S45 D44:H46 K46:N46 O46:S47 E47:N47 E48:S48 G49:H49 E49:F50 K49:M50 N50:S50 H50:H54 I51:S51 A51:F52 K52:S53 D53:F53 A53:C57 G54 E54:F57 P54:S59 K54:N63 O54:O70 G55:H57 E58:H58 B58:D62 E59:F62 H59:H62 S60:S66 B63:H63 A64:F64 L64:M65 P64:R65 H64:K66 N64:N66 B65:F65 E66:F69 B66:D70 P66:P70 E67:H70 K67:N70 Q67:S70 B71:H71 P71:S73 K71:O74 B72:G72 B73:H73 B74:G74 P74:R74 B75:H75 K75:S75 D76:H76 B76:C77 P76:S78 K76:O84 D77:G77 I77:J77 B78:H84 P79:R79 Q80:S80 P82:S82 P83:R83 B85 G85 K85:L85 P85:R86 C85:F92 P89:R89 P91:R91 I92:J92 B93:H93 L93:M93 P93:S93 C94:D94 F94 C95:H95 P95:R95 C96:K96 A96:A100 P97:R97 C97:H98 K97:K99 C99 E99:H99 M99 D99:D100 Q100:R100 G100:G102 C101:D102 D103 P103:R103 C104:D104 G104 C105 Q105:R105 D105:D112 G106 N106:R106 K107:O107 C108:D109 N108:O117 G108:G156 C113:C116 P116:R116 C118:C119 P120:R120 C122:C123 P123:R123 P125:R125 C126:D126 D126:D129 C127:C129 P129:R130 C130:D131 D132:D133 P133:R133 C134:D135 B134:B136 C136 P136:R136 D136:D139 C139:C140 O139:R140 E140 P141:P142 O141:O144 C142 P143:R143 D143:D160 Q145:R145 E146:F146 C146:C147 O146:O154 E147:E148 C149:D149 E149:F150 F151:F156 N153:N154 A155:C155 E155 O156:O162 E157:G157 Q157:R157 F158:G161 E162:G213 O164:O196 A165:C172 K171:N172 P171:S172 O203:O205 O209:O213 O239">
    <cfRule type="expression" dxfId="70" priority="55">
      <formula>$C3="CLOSED"</formula>
    </cfRule>
  </conditionalFormatting>
  <conditionalFormatting sqref="C232">
    <cfRule type="expression" dxfId="69" priority="5">
      <formula>$C232="CLOSED"</formula>
    </cfRule>
  </conditionalFormatting>
  <conditionalFormatting sqref="D54:D57">
    <cfRule type="expression" dxfId="68" priority="265">
      <formula>$C53="CLOSED"</formula>
    </cfRule>
  </conditionalFormatting>
  <conditionalFormatting sqref="E232">
    <cfRule type="expression" dxfId="67" priority="7">
      <formula>$C232="CLOSED"</formula>
    </cfRule>
  </conditionalFormatting>
  <conditionalFormatting sqref="F232">
    <cfRule type="expression" dxfId="66" priority="8">
      <formula>$C232="CLOSED"</formula>
    </cfRule>
  </conditionalFormatting>
  <conditionalFormatting sqref="G232">
    <cfRule type="expression" dxfId="65" priority="9">
      <formula>$C232="CLOSED"</formula>
    </cfRule>
  </conditionalFormatting>
  <conditionalFormatting sqref="H72 E74 H74 S74 H77">
    <cfRule type="expression" dxfId="64" priority="259">
      <formula>$B72="CLOSED"</formula>
    </cfRule>
  </conditionalFormatting>
  <conditionalFormatting sqref="K233:M233 O233:S233 A233:F238 H233:H238 K234:S238">
    <cfRule type="expression" dxfId="63" priority="1">
      <formula>$C233="CLOSED"</formula>
    </cfRule>
  </conditionalFormatting>
  <conditionalFormatting sqref="L66:M66 Q66:R66">
    <cfRule type="expression" dxfId="62" priority="263">
      <formula>#REF!="CLOSED"</formula>
    </cfRule>
  </conditionalFormatting>
  <conditionalFormatting sqref="O42:O43 O197:O199 O206:O208">
    <cfRule type="expression" dxfId="61" priority="93">
      <formula>$C40="CLOSED"</formula>
    </cfRule>
  </conditionalFormatting>
  <conditionalFormatting sqref="O200:O202">
    <cfRule type="expression" dxfId="60" priority="267">
      <formula>$C196="CLOSED"</formula>
    </cfRule>
  </conditionalFormatting>
  <conditionalFormatting sqref="O203:O205">
    <cfRule type="expression" dxfId="59" priority="269">
      <formula>$C197="CLOSED"</formula>
    </cfRule>
  </conditionalFormatting>
  <conditionalFormatting sqref="O206:O208">
    <cfRule type="expression" dxfId="58" priority="274">
      <formula>$C198="CLOSED"</formula>
    </cfRule>
  </conditionalFormatting>
  <conditionalFormatting sqref="O232">
    <cfRule type="expression" dxfId="57" priority="2">
      <formula>$C232="CLOSED"</formula>
    </cfRule>
  </conditionalFormatting>
  <dataValidations count="2">
    <dataValidation allowBlank="1" showInputMessage="1" showErrorMessage="1" sqref="C94:D94 C232 F94 C3:F93 C95:F213 E232:F232 C233:F239" xr:uid="{C42E9B45-1F55-4DD4-8448-FD8ABF50BA80}"/>
    <dataValidation type="list" allowBlank="1" showInputMessage="1" showErrorMessage="1" sqref="F94 E157 E95:F99 E140 E3:F93 E145:E150 F146 E162:E213 F149:F213 E232:F238" xr:uid="{584F25D3-8A60-4364-BD35-2A8F9ED6B1F1}">
      <formula1>#REF!</formula1>
    </dataValidation>
  </dataValidations>
  <pageMargins left="0.7" right="0.7" top="0.75" bottom="0.75" header="0.3" footer="0.3"/>
  <pageSetup paperSize="9" scale="17" orientation="portrait" horizontalDpi="0" verticalDpi="0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D582-B0CC-4BAF-9D73-3C2480C83B4F}">
  <sheetPr>
    <tabColor rgb="FFFFFF00"/>
  </sheetPr>
  <dimension ref="A1:C23"/>
  <sheetViews>
    <sheetView showGridLines="0" zoomScale="130" zoomScaleNormal="130" workbookViewId="0">
      <selection activeCell="D5" sqref="D5"/>
    </sheetView>
  </sheetViews>
  <sheetFormatPr defaultColWidth="8.8984375" defaultRowHeight="13.8"/>
  <cols>
    <col min="1" max="1" width="15.09765625" bestFit="1" customWidth="1"/>
    <col min="2" max="2" width="14.09765625" bestFit="1" customWidth="1"/>
    <col min="3" max="3" width="28.69921875" customWidth="1"/>
    <col min="4" max="4" width="14.09765625" bestFit="1" customWidth="1"/>
    <col min="5" max="5" width="10.3984375" bestFit="1" customWidth="1"/>
    <col min="6" max="6" width="19.69921875" bestFit="1" customWidth="1"/>
    <col min="7" max="7" width="24.296875" bestFit="1" customWidth="1"/>
    <col min="8" max="8" width="18.3984375" bestFit="1" customWidth="1"/>
  </cols>
  <sheetData>
    <row r="1" spans="1:3">
      <c r="A1" s="484" t="s">
        <v>1139</v>
      </c>
      <c r="B1" s="3">
        <v>2026</v>
      </c>
    </row>
    <row r="3" spans="1:3">
      <c r="A3" s="484" t="s">
        <v>1318</v>
      </c>
      <c r="B3" t="s">
        <v>1319</v>
      </c>
      <c r="C3" t="s">
        <v>1320</v>
      </c>
    </row>
    <row r="4" spans="1:3">
      <c r="A4" s="3" t="s">
        <v>1209</v>
      </c>
      <c r="B4">
        <v>45</v>
      </c>
      <c r="C4">
        <v>45</v>
      </c>
    </row>
    <row r="5" spans="1:3">
      <c r="A5" s="3" t="s">
        <v>1214</v>
      </c>
      <c r="B5">
        <v>31</v>
      </c>
      <c r="C5">
        <v>31</v>
      </c>
    </row>
    <row r="6" spans="1:3">
      <c r="A6" s="3" t="s">
        <v>1321</v>
      </c>
      <c r="B6">
        <v>8</v>
      </c>
    </row>
    <row r="7" spans="1:3">
      <c r="A7" s="3" t="s">
        <v>1322</v>
      </c>
      <c r="B7">
        <v>84</v>
      </c>
      <c r="C7">
        <v>76</v>
      </c>
    </row>
    <row r="9" spans="1:3">
      <c r="A9" s="484" t="s">
        <v>1139</v>
      </c>
      <c r="B9" s="3">
        <v>2026</v>
      </c>
    </row>
    <row r="11" spans="1:3">
      <c r="A11" s="484" t="s">
        <v>1318</v>
      </c>
      <c r="B11" t="s">
        <v>1319</v>
      </c>
      <c r="C11" t="s">
        <v>1323</v>
      </c>
    </row>
    <row r="12" spans="1:3">
      <c r="A12" s="3" t="s">
        <v>1324</v>
      </c>
      <c r="B12" s="18">
        <v>14</v>
      </c>
      <c r="C12" s="532">
        <v>8736265942.8888893</v>
      </c>
    </row>
    <row r="13" spans="1:3">
      <c r="A13" s="3" t="s">
        <v>1297</v>
      </c>
      <c r="B13" s="18">
        <v>70</v>
      </c>
      <c r="C13" s="532">
        <v>300598710347.30206</v>
      </c>
    </row>
    <row r="14" spans="1:3">
      <c r="A14" s="3" t="s">
        <v>1322</v>
      </c>
      <c r="B14" s="18">
        <v>84</v>
      </c>
      <c r="C14" s="532">
        <v>309334976290.19092</v>
      </c>
    </row>
    <row r="18" spans="1:2">
      <c r="A18" s="484" t="s">
        <v>1139</v>
      </c>
      <c r="B18" s="3">
        <v>2026</v>
      </c>
    </row>
    <row r="20" spans="1:2">
      <c r="A20" s="484" t="s">
        <v>1318</v>
      </c>
      <c r="B20" t="s">
        <v>1325</v>
      </c>
    </row>
    <row r="21" spans="1:2">
      <c r="A21" s="3" t="s">
        <v>1324</v>
      </c>
      <c r="B21">
        <v>4</v>
      </c>
    </row>
    <row r="22" spans="1:2">
      <c r="A22" s="3" t="s">
        <v>1297</v>
      </c>
      <c r="B22">
        <v>42</v>
      </c>
    </row>
    <row r="23" spans="1:2">
      <c r="A23" s="3" t="s">
        <v>1322</v>
      </c>
      <c r="B23">
        <v>46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89db8e-7f8d-4eae-8f2e-ce66aa75872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73CEED806A4E4ABEDA918D4148E194" ma:contentTypeVersion="9" ma:contentTypeDescription="Create a new document." ma:contentTypeScope="" ma:versionID="6080ae156c2985fbd9ac0483208ef933">
  <xsd:schema xmlns:xsd="http://www.w3.org/2001/XMLSchema" xmlns:xs="http://www.w3.org/2001/XMLSchema" xmlns:p="http://schemas.microsoft.com/office/2006/metadata/properties" xmlns:ns2="9489db8e-7f8d-4eae-8f2e-ce66aa758721" targetNamespace="http://schemas.microsoft.com/office/2006/metadata/properties" ma:root="true" ma:fieldsID="0c989092c708e939fa7fd26735f3f87e" ns2:_="">
    <xsd:import namespace="9489db8e-7f8d-4eae-8f2e-ce66aa7587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9db8e-7f8d-4eae-8f2e-ce66aa7587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57037f-9dd0-4cd9-aa9f-d0f090bf02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990D6C-1B6E-48C3-8C87-A6EFD87FE2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8F9D08-3A05-4DF5-A435-DEFDC5F3A7E9}">
  <ds:schemaRefs>
    <ds:schemaRef ds:uri="http://schemas.microsoft.com/office/2006/metadata/properties"/>
    <ds:schemaRef ds:uri="http://schemas.microsoft.com/office/infopath/2007/PartnerControls"/>
    <ds:schemaRef ds:uri="9489db8e-7f8d-4eae-8f2e-ce66aa758721"/>
  </ds:schemaRefs>
</ds:datastoreItem>
</file>

<file path=customXml/itemProps3.xml><?xml version="1.0" encoding="utf-8"?>
<ds:datastoreItem xmlns:ds="http://schemas.openxmlformats.org/officeDocument/2006/customXml" ds:itemID="{17E8319E-B4D1-415E-9AF9-D4F3EB6C9F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89db8e-7f8d-4eae-8f2e-ce66aa7587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KODE PROJECT UPDATE SEP 25</vt:lpstr>
      <vt:lpstr>KODE PROJECT BARU</vt:lpstr>
      <vt:lpstr>PROGNOSA 2026</vt:lpstr>
      <vt:lpstr>APLIKASI</vt:lpstr>
      <vt:lpstr>DOKUMEN</vt:lpstr>
      <vt:lpstr>PIC</vt:lpstr>
      <vt:lpstr>TKDN</vt:lpstr>
      <vt:lpstr>REALISASI 2026</vt:lpstr>
      <vt:lpstr>Lembar1</vt:lpstr>
      <vt:lpstr>RAW DATA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Subandi Natra</dc:creator>
  <cp:keywords/>
  <dc:description/>
  <cp:lastModifiedBy>Gilang Kukuh Prabowo</cp:lastModifiedBy>
  <cp:revision/>
  <dcterms:created xsi:type="dcterms:W3CDTF">2025-05-08T13:33:05Z</dcterms:created>
  <dcterms:modified xsi:type="dcterms:W3CDTF">2026-08-14T08:15:43Z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0x010100B873CEED806A4E4ABEDA918D4148E194</vt:lpwstr>
  </property>
  <property fmtid="{D5CDD505-2E9C-101B-9397-08002B2CF9AE}" pid="3" name="MediaServiceImageTags">
    <vt:lpwstr/>
  </property>
  <property fmtid="{D5CDD505-2E9C-101B-9397-08002B2CF9AE}" pid="4" name="Order">
    <vt:r8>699400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